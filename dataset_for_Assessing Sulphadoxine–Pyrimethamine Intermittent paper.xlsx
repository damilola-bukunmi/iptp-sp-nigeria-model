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<sst xmlns="http://schemas.openxmlformats.org/spreadsheetml/2006/main" count="390" uniqueCount="62">
  <si>
    <t>Survey</t>
  </si>
  <si>
    <t>Characteristic</t>
  </si>
  <si>
    <t>Susceptibe Pregnant Women (S_p)</t>
  </si>
  <si>
    <t>SP/Fansidar 3+ doses during pregnancy (X_i)</t>
  </si>
  <si>
    <t>2020 PW TESTED</t>
  </si>
  <si>
    <t>Incidence of MIP 2020</t>
  </si>
  <si>
    <t>2021 PW Tested</t>
  </si>
  <si>
    <t>Incidence of MIP 2021</t>
  </si>
  <si>
    <t>2022 PW TESTED</t>
  </si>
  <si>
    <t>Incidence of MIP 2022</t>
  </si>
  <si>
    <t>2023 PW TESTED</t>
  </si>
  <si>
    <t>Incidence of MIP 2023</t>
  </si>
  <si>
    <t>2024 PW TESTED</t>
  </si>
  <si>
    <t>Incidence of MIP 2024</t>
  </si>
  <si>
    <t>2024 DHS</t>
  </si>
  <si>
    <t>States : FCT Abuja (L2)</t>
  </si>
  <si>
    <t>States : Benue (L2)</t>
  </si>
  <si>
    <t>States : Kogi (L2)</t>
  </si>
  <si>
    <t>States : Kwara (L2)</t>
  </si>
  <si>
    <t>States : Nasarawa (L2)</t>
  </si>
  <si>
    <t>States : Niger (L2)</t>
  </si>
  <si>
    <t>States : Plateau (L2)</t>
  </si>
  <si>
    <t>States : Adamawa (L2)</t>
  </si>
  <si>
    <t>States : Bauchi (L2)</t>
  </si>
  <si>
    <t>States : Borno (L2)</t>
  </si>
  <si>
    <t>States : Gombe (L2)</t>
  </si>
  <si>
    <t>States : Taraba (L2)</t>
  </si>
  <si>
    <t>States : Yobe (L2)</t>
  </si>
  <si>
    <t>States : Jigawa (L2)</t>
  </si>
  <si>
    <t>States : Kaduna (L2)</t>
  </si>
  <si>
    <t>States : Kano (L2)</t>
  </si>
  <si>
    <t>States : Katsina (L2)</t>
  </si>
  <si>
    <t>States : Kebbi (L2)</t>
  </si>
  <si>
    <t>States : Sokoto (L2)</t>
  </si>
  <si>
    <t>States : Zamfara (L2)</t>
  </si>
  <si>
    <t>States : Abia (L2)</t>
  </si>
  <si>
    <t>States : Anambra (L2)</t>
  </si>
  <si>
    <t>States : Ebonyi (L2)</t>
  </si>
  <si>
    <t>States : Enugu (L2)</t>
  </si>
  <si>
    <t>States : Imo (L2)</t>
  </si>
  <si>
    <t>States : Ekiti (L2)</t>
  </si>
  <si>
    <t>States : Lagos (L2)</t>
  </si>
  <si>
    <t>States : Ogun (L2)</t>
  </si>
  <si>
    <t>States : Ondo (L2)</t>
  </si>
  <si>
    <t>States : Osun (L2)</t>
  </si>
  <si>
    <t>States : Oyo (L2)</t>
  </si>
  <si>
    <t>States : Akwa Ibom (L2)</t>
  </si>
  <si>
    <t>States : Bayelsa (L2)</t>
  </si>
  <si>
    <t>States : Cross River (L2)</t>
  </si>
  <si>
    <t>States : Delta (L2)</t>
  </si>
  <si>
    <t>States : Edo (L2)</t>
  </si>
  <si>
    <t>States : Rivers (L2)</t>
  </si>
  <si>
    <t>2021 MIS</t>
  </si>
  <si>
    <t>2018 DHS</t>
  </si>
  <si>
    <t>2015 MIS</t>
  </si>
  <si>
    <t>2013 DHS</t>
  </si>
  <si>
    <t>Percentage of women age 15-49 with a live birth in the two years preceding the survey who during the pregnancy took at least one dose of SP/Fansidar</t>
  </si>
  <si>
    <t>Percentage of women age 15-49 with a live birth in the two years preceding the survey who during the pregnancy took two or more doses of SP/Fansidar</t>
  </si>
  <si>
    <t>Percentage of women age 15-49 with a live birth in the two years preceding the survey who during the pregnancy took three or more doses of SP/Fansidar</t>
  </si>
  <si>
    <t>Percentage of women age 15-49 with a live birth in the two years preceding the survey who during the pregnancy took at least one dose of SP/Fansidar, with at least one dose during an antenatal care visit</t>
  </si>
  <si>
    <t>Percentage of women age 15-49 with a live birth in the two years preceding the survey who during the pregnancy took two or more doses of SP/Fansidar, with at least one dose during an antenatal care visit</t>
  </si>
  <si>
    <t>Percentage of women age 15-49 with a live birth in the two years preceding the survey who during the pregnancy took three or more doses of SP/Fansidar, with at least one dose during an antenatal care visit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</si>
</sst>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ndara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Alignment="1">
      <alignment wrapText="1"/>
    </xf>
    <xf numFmtId="0" fontId="5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9" fontId="6" fillId="0" borderId="0" xfId="3" applyFont="1" applyAlignment="1">
      <alignment vertical="top" wrapText="1"/>
    </xf>
    <xf numFmtId="3" fontId="2" fillId="0" borderId="0" xfId="0" applyNumberFormat="1" applyFont="1" applyFill="1" applyBorder="1" applyAlignment="1"/>
    <xf numFmtId="9" fontId="6" fillId="0" borderId="0" xfId="3" applyFont="1"/>
    <xf numFmtId="3" fontId="2" fillId="0" borderId="0" xfId="0" applyNumberFormat="1" applyFont="1" applyFill="1" applyBorder="1" applyAlignment="1"/>
    <xf numFmtId="9" fontId="6" fillId="0" borderId="0" xfId="3" applyFont="1"/>
    <xf numFmtId="9" fontId="6" fillId="0" borderId="0" xfId="3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3"/>
  <sheetViews>
    <sheetView tabSelected="1" workbookViewId="0">
      <selection activeCell="A1" sqref="A1"/>
    </sheetView>
  </sheetViews>
  <sheetFormatPr defaultColWidth="8.72727272727273" defaultRowHeight="15.5"/>
  <cols>
    <col min="1" max="1" width="17.1818181818182" style="1" customWidth="1"/>
    <col min="2" max="2" width="26.9090909090909" style="1" customWidth="1"/>
    <col min="3" max="3" width="28.1818181818182" customWidth="1"/>
    <col min="4" max="4" width="27.8181818181818" style="2" customWidth="1"/>
    <col min="5" max="5" width="8.72727272727273" style="3"/>
    <col min="6" max="6" width="8.72727272727273" style="4"/>
    <col min="7" max="7" width="8.72727272727273" style="5"/>
    <col min="8" max="8" width="8.72727272727273" style="4"/>
    <col min="9" max="9" width="8.72727272727273" style="5"/>
    <col min="10" max="10" width="8.72727272727273" style="4"/>
    <col min="11" max="11" width="8.72727272727273" style="5"/>
    <col min="12" max="12" width="8.72727272727273" style="4"/>
    <col min="13" max="13" width="8.72727272727273" style="5"/>
    <col min="14" max="14" width="8.72727272727273" style="4"/>
  </cols>
  <sheetData>
    <row r="1" ht="43.5" spans="1:14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1" t="s">
        <v>8</v>
      </c>
      <c r="J1" s="12" t="s">
        <v>9</v>
      </c>
      <c r="K1" s="11" t="s">
        <v>10</v>
      </c>
      <c r="L1" s="10" t="s">
        <v>11</v>
      </c>
      <c r="M1" s="11" t="s">
        <v>12</v>
      </c>
      <c r="N1" s="12" t="s">
        <v>13</v>
      </c>
    </row>
    <row r="2" spans="1:14">
      <c r="A2" s="1" t="s">
        <v>14</v>
      </c>
      <c r="B2" s="1" t="s">
        <v>15</v>
      </c>
      <c r="C2">
        <f>100-D2</f>
        <v>73.3</v>
      </c>
      <c r="D2" s="2">
        <v>26.7</v>
      </c>
      <c r="E2" s="13">
        <v>14</v>
      </c>
      <c r="F2" s="14">
        <v>1.35714285714286</v>
      </c>
      <c r="G2" s="15">
        <f t="shared" ref="G2:G38" si="0">SUM(E2:F2)</f>
        <v>15.3571428571429</v>
      </c>
      <c r="H2" s="14">
        <v>0.857307426464941</v>
      </c>
      <c r="I2" s="15">
        <f t="shared" ref="I2:I38" si="1">SUM(G2:H2)</f>
        <v>16.2144502836078</v>
      </c>
      <c r="J2" s="14">
        <v>0.850688777175687</v>
      </c>
      <c r="K2" s="15">
        <f t="shared" ref="K2:K38" si="2">SUM(I2:J2)</f>
        <v>17.0651390607835</v>
      </c>
      <c r="L2" s="14">
        <v>0.907262957184954</v>
      </c>
      <c r="M2" s="15">
        <f t="shared" ref="M2:M38" si="3">SUM(K2:L2)</f>
        <v>17.9724020179684</v>
      </c>
      <c r="N2" s="16">
        <v>0.776112460592279</v>
      </c>
    </row>
    <row r="3" spans="1:14">
      <c r="A3" s="1" t="s">
        <v>14</v>
      </c>
      <c r="B3" s="1" t="s">
        <v>16</v>
      </c>
      <c r="C3">
        <f t="shared" ref="C3:C34" si="4">100-D3</f>
        <v>63.4</v>
      </c>
      <c r="D3" s="2">
        <v>36.6</v>
      </c>
      <c r="E3" s="13">
        <v>10542</v>
      </c>
      <c r="F3" s="14">
        <v>0.797761335609941</v>
      </c>
      <c r="G3" s="15">
        <f t="shared" si="0"/>
        <v>10542.7977613356</v>
      </c>
      <c r="H3" s="14">
        <v>0.746292425599681</v>
      </c>
      <c r="I3" s="15">
        <f t="shared" si="1"/>
        <v>10543.5440537612</v>
      </c>
      <c r="J3" s="14">
        <v>0.745728056082956</v>
      </c>
      <c r="K3" s="15">
        <f t="shared" si="2"/>
        <v>10544.2897818173</v>
      </c>
      <c r="L3" s="14">
        <v>0.742942697699741</v>
      </c>
      <c r="M3" s="15">
        <f t="shared" si="3"/>
        <v>10545.032724515</v>
      </c>
      <c r="N3" s="16">
        <v>0.639623827168519</v>
      </c>
    </row>
    <row r="4" spans="1:14">
      <c r="A4" s="1" t="s">
        <v>14</v>
      </c>
      <c r="B4" s="1" t="s">
        <v>17</v>
      </c>
      <c r="C4">
        <f t="shared" si="4"/>
        <v>83.1</v>
      </c>
      <c r="D4" s="2">
        <v>16.9</v>
      </c>
      <c r="E4" s="13">
        <v>0</v>
      </c>
      <c r="F4" s="14">
        <v>0</v>
      </c>
      <c r="G4" s="15">
        <f t="shared" si="0"/>
        <v>0</v>
      </c>
      <c r="H4" s="14">
        <v>0.530361410525289</v>
      </c>
      <c r="I4" s="15">
        <f t="shared" si="1"/>
        <v>0.530361410525289</v>
      </c>
      <c r="J4" s="14">
        <v>0.482487922705314</v>
      </c>
      <c r="K4" s="15">
        <f t="shared" si="2"/>
        <v>1.0128493332306</v>
      </c>
      <c r="L4" s="14">
        <v>0.421762090050028</v>
      </c>
      <c r="M4" s="15">
        <f t="shared" si="3"/>
        <v>1.43461142328063</v>
      </c>
      <c r="N4" s="16">
        <v>0.390664324041977</v>
      </c>
    </row>
    <row r="5" spans="1:14">
      <c r="A5" s="1" t="s">
        <v>14</v>
      </c>
      <c r="B5" s="1" t="s">
        <v>18</v>
      </c>
      <c r="C5">
        <f t="shared" si="4"/>
        <v>85.3</v>
      </c>
      <c r="D5" s="2">
        <v>14.7</v>
      </c>
      <c r="E5" s="13">
        <v>2290</v>
      </c>
      <c r="F5" s="14">
        <v>0.78471615720524</v>
      </c>
      <c r="G5" s="15">
        <f t="shared" si="0"/>
        <v>2290.78471615721</v>
      </c>
      <c r="H5" s="14">
        <v>0.711240105540897</v>
      </c>
      <c r="I5" s="15">
        <f t="shared" si="1"/>
        <v>2291.49595626275</v>
      </c>
      <c r="J5" s="14">
        <v>0.75920471281296</v>
      </c>
      <c r="K5" s="15">
        <f t="shared" si="2"/>
        <v>2292.25516097556</v>
      </c>
      <c r="L5" s="14">
        <v>0.820709491850431</v>
      </c>
      <c r="M5" s="15">
        <f t="shared" si="3"/>
        <v>2293.07587046741</v>
      </c>
      <c r="N5" s="16">
        <v>0.836159346271706</v>
      </c>
    </row>
    <row r="6" spans="1:14">
      <c r="A6" s="1" t="s">
        <v>14</v>
      </c>
      <c r="B6" s="1" t="s">
        <v>19</v>
      </c>
      <c r="C6">
        <f t="shared" si="4"/>
        <v>65</v>
      </c>
      <c r="D6" s="2">
        <v>35</v>
      </c>
      <c r="E6" s="13">
        <v>24375</v>
      </c>
      <c r="F6" s="14">
        <v>0.71388717948718</v>
      </c>
      <c r="G6" s="15">
        <f t="shared" si="0"/>
        <v>24375.7138871795</v>
      </c>
      <c r="H6" s="14">
        <v>0.659361059281499</v>
      </c>
      <c r="I6" s="15">
        <f t="shared" si="1"/>
        <v>24376.3732482388</v>
      </c>
      <c r="J6" s="14">
        <v>0.617414798008546</v>
      </c>
      <c r="K6" s="15">
        <f t="shared" si="2"/>
        <v>24376.9906630368</v>
      </c>
      <c r="L6" s="14">
        <v>0.616218542993567</v>
      </c>
      <c r="M6" s="15">
        <f t="shared" si="3"/>
        <v>24377.6068815798</v>
      </c>
      <c r="N6" s="16">
        <v>0.60560495897302</v>
      </c>
    </row>
    <row r="7" spans="1:14">
      <c r="A7" s="1" t="s">
        <v>14</v>
      </c>
      <c r="B7" s="1" t="s">
        <v>20</v>
      </c>
      <c r="C7">
        <f t="shared" si="4"/>
        <v>82.7</v>
      </c>
      <c r="D7" s="2">
        <v>17.3</v>
      </c>
      <c r="E7" s="13">
        <v>0</v>
      </c>
      <c r="F7" s="14">
        <v>0</v>
      </c>
      <c r="G7" s="15">
        <f t="shared" si="0"/>
        <v>0</v>
      </c>
      <c r="H7" s="14">
        <v>0.594462169553327</v>
      </c>
      <c r="I7" s="15">
        <f t="shared" si="1"/>
        <v>0.594462169553327</v>
      </c>
      <c r="J7" s="14">
        <v>0.537770314733713</v>
      </c>
      <c r="K7" s="15">
        <f t="shared" si="2"/>
        <v>1.13223248428704</v>
      </c>
      <c r="L7" s="14">
        <v>0.562429545332546</v>
      </c>
      <c r="M7" s="15">
        <f t="shared" si="3"/>
        <v>1.69466202961959</v>
      </c>
      <c r="N7" s="16">
        <v>0.518499472912863</v>
      </c>
    </row>
    <row r="8" spans="1:14">
      <c r="A8" s="1" t="s">
        <v>14</v>
      </c>
      <c r="B8" s="1" t="s">
        <v>21</v>
      </c>
      <c r="C8">
        <f t="shared" si="4"/>
        <v>67.7</v>
      </c>
      <c r="D8" s="2">
        <v>32.3</v>
      </c>
      <c r="E8" s="13">
        <v>11781</v>
      </c>
      <c r="F8" s="14">
        <v>0.592988710635769</v>
      </c>
      <c r="G8" s="15">
        <f t="shared" si="0"/>
        <v>11781.5929887106</v>
      </c>
      <c r="H8" s="14">
        <v>0.570980188896568</v>
      </c>
      <c r="I8" s="15">
        <f t="shared" si="1"/>
        <v>11782.1639688995</v>
      </c>
      <c r="J8" s="14">
        <v>0.536614239810587</v>
      </c>
      <c r="K8" s="15">
        <f t="shared" si="2"/>
        <v>11782.7005831393</v>
      </c>
      <c r="L8" s="14">
        <v>0.519055450650748</v>
      </c>
      <c r="M8" s="15">
        <f t="shared" si="3"/>
        <v>11783.21963859</v>
      </c>
      <c r="N8" s="16">
        <v>0.57793225910044</v>
      </c>
    </row>
    <row r="9" spans="1:14">
      <c r="A9" s="1" t="s">
        <v>14</v>
      </c>
      <c r="B9" s="1" t="s">
        <v>22</v>
      </c>
      <c r="C9">
        <f t="shared" si="4"/>
        <v>65.6</v>
      </c>
      <c r="D9" s="2">
        <v>34.4</v>
      </c>
      <c r="E9" s="13">
        <v>0</v>
      </c>
      <c r="F9" s="14">
        <v>0</v>
      </c>
      <c r="G9" s="15">
        <f t="shared" si="0"/>
        <v>0</v>
      </c>
      <c r="H9" s="14">
        <v>0.796043656207367</v>
      </c>
      <c r="I9" s="15">
        <f t="shared" si="1"/>
        <v>0.796043656207367</v>
      </c>
      <c r="J9" s="14">
        <v>0.836343732895457</v>
      </c>
      <c r="K9" s="15">
        <f t="shared" si="2"/>
        <v>1.63238738910282</v>
      </c>
      <c r="L9" s="14">
        <v>0.795435684647303</v>
      </c>
      <c r="M9" s="15">
        <f t="shared" si="3"/>
        <v>2.42782307375013</v>
      </c>
      <c r="N9" s="16">
        <v>0.806655730021092</v>
      </c>
    </row>
    <row r="10" spans="1:14">
      <c r="A10" s="1" t="s">
        <v>14</v>
      </c>
      <c r="B10" s="1" t="s">
        <v>23</v>
      </c>
      <c r="C10">
        <f t="shared" si="4"/>
        <v>64.1</v>
      </c>
      <c r="D10" s="2">
        <v>35.9</v>
      </c>
      <c r="E10" s="13">
        <v>9</v>
      </c>
      <c r="F10" s="14">
        <v>0.666666666666667</v>
      </c>
      <c r="G10" s="15">
        <f t="shared" si="0"/>
        <v>9.66666666666667</v>
      </c>
      <c r="H10" s="14">
        <v>0.713539619250856</v>
      </c>
      <c r="I10" s="15">
        <f t="shared" si="1"/>
        <v>10.3802062859175</v>
      </c>
      <c r="J10" s="14">
        <v>0.637444605326664</v>
      </c>
      <c r="K10" s="15">
        <f t="shared" si="2"/>
        <v>11.0176508912442</v>
      </c>
      <c r="L10" s="14">
        <v>0.561681741213398</v>
      </c>
      <c r="M10" s="15">
        <f t="shared" si="3"/>
        <v>11.5793326324576</v>
      </c>
      <c r="N10" s="16">
        <v>0.552493896058598</v>
      </c>
    </row>
    <row r="11" spans="1:14">
      <c r="A11" s="1" t="s">
        <v>14</v>
      </c>
      <c r="B11" s="1" t="s">
        <v>24</v>
      </c>
      <c r="C11">
        <f t="shared" si="4"/>
        <v>93.2</v>
      </c>
      <c r="D11" s="2">
        <v>6.8</v>
      </c>
      <c r="E11" s="13">
        <v>8608</v>
      </c>
      <c r="F11" s="14">
        <v>0.804368029739777</v>
      </c>
      <c r="G11" s="15">
        <f t="shared" si="0"/>
        <v>8608.80436802974</v>
      </c>
      <c r="H11" s="14">
        <v>0.83184555984556</v>
      </c>
      <c r="I11" s="15">
        <f t="shared" si="1"/>
        <v>8609.63621358959</v>
      </c>
      <c r="J11" s="14">
        <v>0.860084078904818</v>
      </c>
      <c r="K11" s="15">
        <f t="shared" si="2"/>
        <v>8610.49629766849</v>
      </c>
      <c r="L11" s="14">
        <v>0.772269884045788</v>
      </c>
      <c r="M11" s="15">
        <f t="shared" si="3"/>
        <v>8611.26856755254</v>
      </c>
      <c r="N11" s="16">
        <v>0.770055127839559</v>
      </c>
    </row>
    <row r="12" spans="1:14">
      <c r="A12" s="1" t="s">
        <v>14</v>
      </c>
      <c r="B12" s="1" t="s">
        <v>25</v>
      </c>
      <c r="C12">
        <f t="shared" si="4"/>
        <v>88.4</v>
      </c>
      <c r="D12" s="2">
        <v>11.6</v>
      </c>
      <c r="E12" s="13">
        <v>0</v>
      </c>
      <c r="F12" s="17">
        <v>0</v>
      </c>
      <c r="G12" s="15">
        <f t="shared" si="0"/>
        <v>0</v>
      </c>
      <c r="H12" s="14">
        <v>0.525815153092613</v>
      </c>
      <c r="I12" s="15">
        <f t="shared" si="1"/>
        <v>0.525815153092613</v>
      </c>
      <c r="J12" s="14">
        <v>0.509377708441671</v>
      </c>
      <c r="K12" s="15">
        <f t="shared" si="2"/>
        <v>1.03519286153428</v>
      </c>
      <c r="L12" s="14">
        <v>0.526180917399846</v>
      </c>
      <c r="M12" s="15">
        <f t="shared" si="3"/>
        <v>1.56137377893413</v>
      </c>
      <c r="N12" s="16">
        <v>0.513081144938594</v>
      </c>
    </row>
    <row r="13" spans="1:14">
      <c r="A13" s="1" t="s">
        <v>14</v>
      </c>
      <c r="B13" s="1" t="s">
        <v>26</v>
      </c>
      <c r="C13">
        <f t="shared" si="4"/>
        <v>70.6</v>
      </c>
      <c r="D13" s="2">
        <v>29.4</v>
      </c>
      <c r="E13" s="13">
        <v>59</v>
      </c>
      <c r="F13" s="14">
        <v>0.864406779661017</v>
      </c>
      <c r="G13" s="15">
        <f t="shared" si="0"/>
        <v>59.864406779661</v>
      </c>
      <c r="H13" s="14">
        <v>0.806932744096119</v>
      </c>
      <c r="I13" s="15">
        <f t="shared" si="1"/>
        <v>60.6713395237571</v>
      </c>
      <c r="J13" s="14">
        <v>0.837329520457545</v>
      </c>
      <c r="K13" s="15">
        <f t="shared" si="2"/>
        <v>61.5086690442147</v>
      </c>
      <c r="L13" s="14">
        <v>0.844963125050652</v>
      </c>
      <c r="M13" s="15">
        <f t="shared" si="3"/>
        <v>62.3536321692653</v>
      </c>
      <c r="N13" s="16">
        <v>0.883829199097985</v>
      </c>
    </row>
    <row r="14" spans="1:14">
      <c r="A14" s="1" t="s">
        <v>14</v>
      </c>
      <c r="B14" s="1" t="s">
        <v>27</v>
      </c>
      <c r="C14">
        <f t="shared" si="4"/>
        <v>74.8</v>
      </c>
      <c r="D14" s="2">
        <v>25.2</v>
      </c>
      <c r="E14" s="13">
        <v>0</v>
      </c>
      <c r="F14" s="17">
        <v>0</v>
      </c>
      <c r="G14" s="15">
        <f t="shared" si="0"/>
        <v>0</v>
      </c>
      <c r="H14" s="14">
        <v>0.876199616122841</v>
      </c>
      <c r="I14" s="15">
        <f t="shared" si="1"/>
        <v>0.876199616122841</v>
      </c>
      <c r="J14" s="14">
        <v>0.940729483282675</v>
      </c>
      <c r="K14" s="15">
        <f t="shared" si="2"/>
        <v>1.81692909940552</v>
      </c>
      <c r="L14" s="14">
        <v>0.924634950541686</v>
      </c>
      <c r="M14" s="15">
        <f t="shared" si="3"/>
        <v>2.7415640499472</v>
      </c>
      <c r="N14" s="16">
        <v>0.867892694449131</v>
      </c>
    </row>
    <row r="15" spans="1:14">
      <c r="A15" s="1" t="s">
        <v>14</v>
      </c>
      <c r="B15" s="1" t="s">
        <v>28</v>
      </c>
      <c r="C15">
        <f t="shared" si="4"/>
        <v>84.9</v>
      </c>
      <c r="D15" s="2">
        <v>15.1</v>
      </c>
      <c r="E15" s="13">
        <v>89</v>
      </c>
      <c r="F15" s="14">
        <v>0.0337078651685393</v>
      </c>
      <c r="G15" s="15">
        <f t="shared" si="0"/>
        <v>89.0337078651685</v>
      </c>
      <c r="H15" s="14">
        <v>1.01237785016287</v>
      </c>
      <c r="I15" s="15">
        <f t="shared" si="1"/>
        <v>90.0460857153314</v>
      </c>
      <c r="J15" s="14">
        <v>0.722528554549035</v>
      </c>
      <c r="K15" s="15">
        <f t="shared" si="2"/>
        <v>90.7686142698804</v>
      </c>
      <c r="L15" s="14">
        <v>0.738418298119791</v>
      </c>
      <c r="M15" s="15">
        <f t="shared" si="3"/>
        <v>91.5070325680002</v>
      </c>
      <c r="N15" s="16">
        <v>0.599409106708377</v>
      </c>
    </row>
    <row r="16" spans="1:14">
      <c r="A16" s="1" t="s">
        <v>14</v>
      </c>
      <c r="B16" s="1" t="s">
        <v>29</v>
      </c>
      <c r="C16">
        <f t="shared" si="4"/>
        <v>69.4</v>
      </c>
      <c r="D16" s="2">
        <v>30.6</v>
      </c>
      <c r="E16" s="13">
        <v>1509</v>
      </c>
      <c r="F16" s="14">
        <v>0.791252485089463</v>
      </c>
      <c r="G16" s="15">
        <f t="shared" si="0"/>
        <v>1509.79125248509</v>
      </c>
      <c r="H16" s="14">
        <v>0.727165439920494</v>
      </c>
      <c r="I16" s="15">
        <f t="shared" si="1"/>
        <v>1510.51841792501</v>
      </c>
      <c r="J16" s="14">
        <v>0.724294308190652</v>
      </c>
      <c r="K16" s="15">
        <f t="shared" si="2"/>
        <v>1511.2427122332</v>
      </c>
      <c r="L16" s="14">
        <v>0.718192714197508</v>
      </c>
      <c r="M16" s="15">
        <f t="shared" si="3"/>
        <v>1511.9609049474</v>
      </c>
      <c r="N16" s="16">
        <v>0.732830374349092</v>
      </c>
    </row>
    <row r="17" spans="1:14">
      <c r="A17" s="1" t="s">
        <v>14</v>
      </c>
      <c r="B17" s="1" t="s">
        <v>30</v>
      </c>
      <c r="C17">
        <f t="shared" si="4"/>
        <v>51.4</v>
      </c>
      <c r="D17" s="2">
        <v>48.6</v>
      </c>
      <c r="E17" s="13">
        <v>8408</v>
      </c>
      <c r="F17" s="14">
        <v>0.713249286393911</v>
      </c>
      <c r="G17" s="15">
        <f t="shared" si="0"/>
        <v>8408.71324928639</v>
      </c>
      <c r="H17" s="14">
        <v>0.692435227336593</v>
      </c>
      <c r="I17" s="15">
        <f t="shared" si="1"/>
        <v>8409.40568451373</v>
      </c>
      <c r="J17" s="14">
        <v>0.68096455434836</v>
      </c>
      <c r="K17" s="15">
        <f t="shared" si="2"/>
        <v>8410.08664906808</v>
      </c>
      <c r="L17" s="14">
        <v>0.711220972423803</v>
      </c>
      <c r="M17" s="15">
        <f t="shared" si="3"/>
        <v>8410.7978700405</v>
      </c>
      <c r="N17" s="16">
        <v>0.682065050314594</v>
      </c>
    </row>
    <row r="18" spans="1:14">
      <c r="A18" s="1" t="s">
        <v>14</v>
      </c>
      <c r="B18" s="1" t="s">
        <v>31</v>
      </c>
      <c r="C18">
        <f t="shared" si="4"/>
        <v>82.5</v>
      </c>
      <c r="D18" s="2">
        <v>17.5</v>
      </c>
      <c r="E18" s="13">
        <v>3228</v>
      </c>
      <c r="F18" s="14">
        <v>0.736988847583643</v>
      </c>
      <c r="G18" s="15">
        <f t="shared" si="0"/>
        <v>3228.73698884758</v>
      </c>
      <c r="H18" s="14">
        <v>0.653179190751445</v>
      </c>
      <c r="I18" s="15">
        <f t="shared" si="1"/>
        <v>3229.39016803834</v>
      </c>
      <c r="J18" s="14">
        <v>0.816625655290467</v>
      </c>
      <c r="K18" s="15">
        <f t="shared" si="2"/>
        <v>3230.20679369363</v>
      </c>
      <c r="L18" s="14">
        <v>0.888437911364634</v>
      </c>
      <c r="M18" s="15">
        <f t="shared" si="3"/>
        <v>3231.09523160499</v>
      </c>
      <c r="N18" s="16">
        <v>0.844075056088109</v>
      </c>
    </row>
    <row r="19" spans="1:14">
      <c r="A19" s="1" t="s">
        <v>14</v>
      </c>
      <c r="B19" s="1" t="s">
        <v>32</v>
      </c>
      <c r="C19">
        <f t="shared" si="4"/>
        <v>91.8</v>
      </c>
      <c r="D19" s="2">
        <v>8.2</v>
      </c>
      <c r="E19" s="13">
        <v>38295</v>
      </c>
      <c r="F19" s="14">
        <v>0.512233973103538</v>
      </c>
      <c r="G19" s="15">
        <f t="shared" si="0"/>
        <v>38295.5122339731</v>
      </c>
      <c r="H19" s="14">
        <v>0.492474010054053</v>
      </c>
      <c r="I19" s="15">
        <f t="shared" si="1"/>
        <v>38296.0047079832</v>
      </c>
      <c r="J19" s="14">
        <v>0.517460587093866</v>
      </c>
      <c r="K19" s="15">
        <f t="shared" si="2"/>
        <v>38296.5221685702</v>
      </c>
      <c r="L19" s="14">
        <v>0.550787564993228</v>
      </c>
      <c r="M19" s="15">
        <f t="shared" si="3"/>
        <v>38297.0729561352</v>
      </c>
      <c r="N19" s="16">
        <v>0.558044960346644</v>
      </c>
    </row>
    <row r="20" spans="1:14">
      <c r="A20" s="1" t="s">
        <v>14</v>
      </c>
      <c r="B20" s="1" t="s">
        <v>33</v>
      </c>
      <c r="C20">
        <f t="shared" si="4"/>
        <v>83.3</v>
      </c>
      <c r="D20" s="2">
        <v>16.7</v>
      </c>
      <c r="E20" s="13">
        <v>36955</v>
      </c>
      <c r="F20" s="14">
        <v>0.709186848870248</v>
      </c>
      <c r="G20" s="15">
        <f t="shared" si="0"/>
        <v>36955.7091868489</v>
      </c>
      <c r="H20" s="14">
        <v>0.758059677928639</v>
      </c>
      <c r="I20" s="15">
        <f t="shared" si="1"/>
        <v>36956.4672465268</v>
      </c>
      <c r="J20" s="14">
        <v>0.628441336923272</v>
      </c>
      <c r="K20" s="15">
        <f t="shared" si="2"/>
        <v>36957.0956878637</v>
      </c>
      <c r="L20" s="14">
        <v>0.643747981501969</v>
      </c>
      <c r="M20" s="15">
        <f t="shared" si="3"/>
        <v>36957.7394358452</v>
      </c>
      <c r="N20" s="16">
        <v>0.663592723597777</v>
      </c>
    </row>
    <row r="21" spans="1:14">
      <c r="A21" s="1" t="s">
        <v>14</v>
      </c>
      <c r="B21" s="1" t="s">
        <v>34</v>
      </c>
      <c r="C21">
        <f t="shared" si="4"/>
        <v>98.7</v>
      </c>
      <c r="D21" s="2">
        <v>1.3</v>
      </c>
      <c r="E21" s="13">
        <v>0</v>
      </c>
      <c r="F21" s="17">
        <v>0</v>
      </c>
      <c r="G21" s="15">
        <f t="shared" si="0"/>
        <v>0</v>
      </c>
      <c r="H21" s="14">
        <v>0.716405983913647</v>
      </c>
      <c r="I21" s="15">
        <f t="shared" si="1"/>
        <v>0.716405983913647</v>
      </c>
      <c r="J21" s="14">
        <v>0.701736961751528</v>
      </c>
      <c r="K21" s="15">
        <f t="shared" si="2"/>
        <v>1.41814294566518</v>
      </c>
      <c r="L21" s="14">
        <v>0.692391012922945</v>
      </c>
      <c r="M21" s="15">
        <f t="shared" si="3"/>
        <v>2.11053395858812</v>
      </c>
      <c r="N21" s="16">
        <v>0.702470798233802</v>
      </c>
    </row>
    <row r="22" spans="1:14">
      <c r="A22" s="1" t="s">
        <v>14</v>
      </c>
      <c r="B22" s="1" t="s">
        <v>35</v>
      </c>
      <c r="C22">
        <f t="shared" si="4"/>
        <v>74.3</v>
      </c>
      <c r="D22" s="2">
        <v>25.7</v>
      </c>
      <c r="E22" s="13">
        <v>34402</v>
      </c>
      <c r="F22" s="14">
        <v>0.668885529911052</v>
      </c>
      <c r="G22" s="15">
        <f t="shared" si="0"/>
        <v>34402.6688855299</v>
      </c>
      <c r="H22" s="14">
        <v>0.652388340906572</v>
      </c>
      <c r="I22" s="15">
        <f t="shared" si="1"/>
        <v>34403.3212738708</v>
      </c>
      <c r="J22" s="14">
        <v>0.583708565468468</v>
      </c>
      <c r="K22" s="15">
        <f t="shared" si="2"/>
        <v>34403.9049824363</v>
      </c>
      <c r="L22" s="14">
        <v>0.526789158105123</v>
      </c>
      <c r="M22" s="15">
        <f t="shared" si="3"/>
        <v>34404.4317715944</v>
      </c>
      <c r="N22" s="16">
        <v>0.549070419590081</v>
      </c>
    </row>
    <row r="23" spans="1:14">
      <c r="A23" s="1" t="s">
        <v>14</v>
      </c>
      <c r="B23" s="1" t="s">
        <v>36</v>
      </c>
      <c r="C23">
        <f t="shared" si="4"/>
        <v>74</v>
      </c>
      <c r="D23" s="2">
        <v>26</v>
      </c>
      <c r="E23" s="13">
        <v>0</v>
      </c>
      <c r="F23" s="17">
        <v>0</v>
      </c>
      <c r="G23" s="15">
        <f t="shared" si="0"/>
        <v>0</v>
      </c>
      <c r="H23" s="14">
        <v>0.679479418886199</v>
      </c>
      <c r="I23" s="15">
        <f t="shared" si="1"/>
        <v>0.679479418886199</v>
      </c>
      <c r="J23" s="14">
        <v>0.690920245398773</v>
      </c>
      <c r="K23" s="15">
        <f t="shared" si="2"/>
        <v>1.37039966428497</v>
      </c>
      <c r="L23" s="14">
        <v>0.676048313582498</v>
      </c>
      <c r="M23" s="15">
        <f t="shared" si="3"/>
        <v>2.04644797786747</v>
      </c>
      <c r="N23" s="16">
        <v>0.681541379654587</v>
      </c>
    </row>
    <row r="24" spans="1:14">
      <c r="A24" s="1" t="s">
        <v>14</v>
      </c>
      <c r="B24" s="1" t="s">
        <v>37</v>
      </c>
      <c r="C24">
        <f t="shared" si="4"/>
        <v>68.8</v>
      </c>
      <c r="D24" s="2">
        <v>31.2</v>
      </c>
      <c r="E24" s="13">
        <v>38025</v>
      </c>
      <c r="F24" s="14">
        <v>0.710111768573307</v>
      </c>
      <c r="G24" s="15">
        <f t="shared" si="0"/>
        <v>38025.7101117686</v>
      </c>
      <c r="H24" s="14">
        <v>0.687874263687939</v>
      </c>
      <c r="I24" s="15">
        <f t="shared" si="1"/>
        <v>38026.3979860323</v>
      </c>
      <c r="J24" s="14">
        <v>0.698092043246318</v>
      </c>
      <c r="K24" s="15">
        <f t="shared" si="2"/>
        <v>38027.0960780755</v>
      </c>
      <c r="L24" s="14">
        <v>0.773457127759185</v>
      </c>
      <c r="M24" s="15">
        <f t="shared" si="3"/>
        <v>38027.8695352033</v>
      </c>
      <c r="N24" s="16">
        <v>0.777071304849885</v>
      </c>
    </row>
    <row r="25" spans="1:14">
      <c r="A25" s="1" t="s">
        <v>14</v>
      </c>
      <c r="B25" s="1" t="s">
        <v>38</v>
      </c>
      <c r="C25">
        <f t="shared" si="4"/>
        <v>56.9</v>
      </c>
      <c r="D25" s="2">
        <v>43.1</v>
      </c>
      <c r="E25" s="13">
        <v>3803</v>
      </c>
      <c r="F25" s="14">
        <v>0.678148829871154</v>
      </c>
      <c r="G25" s="15">
        <f t="shared" si="0"/>
        <v>3803.67814882987</v>
      </c>
      <c r="H25" s="14">
        <v>0.668166383701188</v>
      </c>
      <c r="I25" s="15">
        <f t="shared" si="1"/>
        <v>3804.34631521357</v>
      </c>
      <c r="J25" s="14">
        <v>0.615437158469945</v>
      </c>
      <c r="K25" s="15">
        <f t="shared" si="2"/>
        <v>3804.96175237204</v>
      </c>
      <c r="L25" s="14">
        <v>0.633508618171195</v>
      </c>
      <c r="M25" s="15">
        <f t="shared" si="3"/>
        <v>3805.59526099021</v>
      </c>
      <c r="N25" s="16">
        <v>0.614228060457387</v>
      </c>
    </row>
    <row r="26" spans="1:14">
      <c r="A26" s="1" t="s">
        <v>14</v>
      </c>
      <c r="B26" s="1" t="s">
        <v>39</v>
      </c>
      <c r="C26">
        <f t="shared" si="4"/>
        <v>72.2</v>
      </c>
      <c r="D26" s="2">
        <v>27.8</v>
      </c>
      <c r="E26" s="13">
        <v>12</v>
      </c>
      <c r="F26" s="14">
        <v>0.666666666666667</v>
      </c>
      <c r="G26" s="15">
        <f t="shared" si="0"/>
        <v>12.6666666666667</v>
      </c>
      <c r="H26" s="14">
        <v>0.781745502998001</v>
      </c>
      <c r="I26" s="15">
        <f t="shared" si="1"/>
        <v>13.4484121696647</v>
      </c>
      <c r="J26" s="14">
        <v>0.73166412078546</v>
      </c>
      <c r="K26" s="15">
        <f t="shared" si="2"/>
        <v>14.1800762904501</v>
      </c>
      <c r="L26" s="14">
        <v>0.730370691523954</v>
      </c>
      <c r="M26" s="15">
        <f t="shared" si="3"/>
        <v>14.9104469819741</v>
      </c>
      <c r="N26" s="16">
        <v>0.676271591180451</v>
      </c>
    </row>
    <row r="27" spans="1:14">
      <c r="A27" s="1" t="s">
        <v>14</v>
      </c>
      <c r="B27" s="1" t="s">
        <v>40</v>
      </c>
      <c r="C27">
        <f t="shared" si="4"/>
        <v>64.9</v>
      </c>
      <c r="D27" s="2">
        <v>35.1</v>
      </c>
      <c r="E27" s="13">
        <v>18255</v>
      </c>
      <c r="F27" s="14">
        <v>0.681840591618735</v>
      </c>
      <c r="G27" s="15">
        <f t="shared" si="0"/>
        <v>18255.6818405916</v>
      </c>
      <c r="H27" s="14">
        <v>0.634637398155006</v>
      </c>
      <c r="I27" s="15">
        <f t="shared" si="1"/>
        <v>18256.3164779898</v>
      </c>
      <c r="J27" s="14">
        <v>0.607021579581553</v>
      </c>
      <c r="K27" s="15">
        <f t="shared" si="2"/>
        <v>18256.9234995694</v>
      </c>
      <c r="L27" s="14">
        <v>0.583428383629439</v>
      </c>
      <c r="M27" s="15">
        <f t="shared" si="3"/>
        <v>18257.506927953</v>
      </c>
      <c r="N27" s="16">
        <v>0.5649828078133</v>
      </c>
    </row>
    <row r="28" spans="1:14">
      <c r="A28" s="1" t="s">
        <v>14</v>
      </c>
      <c r="B28" s="1" t="s">
        <v>41</v>
      </c>
      <c r="C28">
        <f t="shared" si="4"/>
        <v>74.1</v>
      </c>
      <c r="D28" s="2">
        <v>25.9</v>
      </c>
      <c r="E28" s="13">
        <v>16301</v>
      </c>
      <c r="F28" s="14">
        <v>0.673946383657444</v>
      </c>
      <c r="G28" s="15">
        <f t="shared" si="0"/>
        <v>16301.6739463837</v>
      </c>
      <c r="H28" s="14">
        <v>0.680414401042061</v>
      </c>
      <c r="I28" s="15">
        <f t="shared" si="1"/>
        <v>16302.3543607847</v>
      </c>
      <c r="J28" s="14">
        <v>0.62364075451994</v>
      </c>
      <c r="K28" s="15">
        <f t="shared" si="2"/>
        <v>16302.9780015392</v>
      </c>
      <c r="L28" s="14">
        <v>0.640397597406049</v>
      </c>
      <c r="M28" s="15">
        <f t="shared" si="3"/>
        <v>16303.6183991366</v>
      </c>
      <c r="N28" s="16">
        <v>0.640905431245597</v>
      </c>
    </row>
    <row r="29" spans="1:14">
      <c r="A29" s="1" t="s">
        <v>14</v>
      </c>
      <c r="B29" s="1" t="s">
        <v>42</v>
      </c>
      <c r="C29">
        <f t="shared" si="4"/>
        <v>83.7</v>
      </c>
      <c r="D29" s="2">
        <v>16.3</v>
      </c>
      <c r="E29" s="13">
        <v>0</v>
      </c>
      <c r="F29" s="17">
        <v>0</v>
      </c>
      <c r="G29" s="15">
        <f t="shared" si="0"/>
        <v>0</v>
      </c>
      <c r="H29" s="14">
        <v>0.79860494610019</v>
      </c>
      <c r="I29" s="15">
        <f t="shared" si="1"/>
        <v>0.79860494610019</v>
      </c>
      <c r="J29" s="14">
        <v>0.766326665783547</v>
      </c>
      <c r="K29" s="15">
        <f t="shared" si="2"/>
        <v>1.56493161188374</v>
      </c>
      <c r="L29" s="14">
        <v>0.816117216117216</v>
      </c>
      <c r="M29" s="15">
        <f t="shared" si="3"/>
        <v>2.38104882800095</v>
      </c>
      <c r="N29" s="16">
        <v>0.770793125631835</v>
      </c>
    </row>
    <row r="30" spans="1:14">
      <c r="A30" s="1" t="s">
        <v>14</v>
      </c>
      <c r="B30" s="1" t="s">
        <v>43</v>
      </c>
      <c r="C30">
        <f t="shared" si="4"/>
        <v>69.2</v>
      </c>
      <c r="D30" s="2">
        <v>30.8</v>
      </c>
      <c r="E30" s="13">
        <v>0</v>
      </c>
      <c r="F30" s="17">
        <v>0</v>
      </c>
      <c r="G30" s="15">
        <f t="shared" si="0"/>
        <v>0</v>
      </c>
      <c r="H30" s="14">
        <v>0.853035485250107</v>
      </c>
      <c r="I30" s="15">
        <f t="shared" si="1"/>
        <v>0.853035485250107</v>
      </c>
      <c r="J30" s="14">
        <v>0.822623290033337</v>
      </c>
      <c r="K30" s="15">
        <f t="shared" si="2"/>
        <v>1.67565877528344</v>
      </c>
      <c r="L30" s="14">
        <v>0.842824074074074</v>
      </c>
      <c r="M30" s="15">
        <f t="shared" si="3"/>
        <v>2.51848284935752</v>
      </c>
      <c r="N30" s="16">
        <v>0.845985737290085</v>
      </c>
    </row>
    <row r="31" spans="1:14">
      <c r="A31" s="1" t="s">
        <v>14</v>
      </c>
      <c r="B31" s="1" t="s">
        <v>44</v>
      </c>
      <c r="C31">
        <f t="shared" si="4"/>
        <v>79.9</v>
      </c>
      <c r="D31" s="2">
        <v>20.1</v>
      </c>
      <c r="E31" s="13">
        <v>2256</v>
      </c>
      <c r="F31" s="14">
        <v>0.750886524822695</v>
      </c>
      <c r="G31" s="15">
        <f t="shared" si="0"/>
        <v>2256.75088652482</v>
      </c>
      <c r="H31" s="14">
        <v>0.786108918705604</v>
      </c>
      <c r="I31" s="15">
        <f t="shared" si="1"/>
        <v>2257.53699544353</v>
      </c>
      <c r="J31" s="14">
        <v>0.696656909567093</v>
      </c>
      <c r="K31" s="15">
        <f t="shared" si="2"/>
        <v>2258.2336523531</v>
      </c>
      <c r="L31" s="14">
        <v>0.742644628099174</v>
      </c>
      <c r="M31" s="15">
        <f t="shared" si="3"/>
        <v>2258.97629698119</v>
      </c>
      <c r="N31" s="16">
        <v>0.665333128173565</v>
      </c>
    </row>
    <row r="32" spans="1:14">
      <c r="A32" s="1" t="s">
        <v>14</v>
      </c>
      <c r="B32" s="1" t="s">
        <v>45</v>
      </c>
      <c r="C32">
        <f t="shared" si="4"/>
        <v>65.8</v>
      </c>
      <c r="D32" s="2">
        <v>34.2</v>
      </c>
      <c r="E32" s="13">
        <v>6679</v>
      </c>
      <c r="F32" s="14">
        <v>0.730648300643809</v>
      </c>
      <c r="G32" s="15">
        <f t="shared" si="0"/>
        <v>6679.73064830064</v>
      </c>
      <c r="H32" s="14">
        <v>0.66404673393521</v>
      </c>
      <c r="I32" s="15">
        <f t="shared" si="1"/>
        <v>6680.39469503458</v>
      </c>
      <c r="J32" s="14">
        <v>0.534707782152812</v>
      </c>
      <c r="K32" s="15">
        <f t="shared" si="2"/>
        <v>6680.92940281673</v>
      </c>
      <c r="L32" s="14">
        <v>0.555450559419413</v>
      </c>
      <c r="M32" s="15">
        <f t="shared" si="3"/>
        <v>6681.48485337615</v>
      </c>
      <c r="N32" s="16">
        <v>0.5212244207678</v>
      </c>
    </row>
    <row r="33" spans="1:14">
      <c r="A33" s="1" t="s">
        <v>14</v>
      </c>
      <c r="B33" s="1" t="s">
        <v>46</v>
      </c>
      <c r="C33">
        <f t="shared" si="4"/>
        <v>74.8</v>
      </c>
      <c r="D33" s="2">
        <v>25.2</v>
      </c>
      <c r="E33" s="13">
        <v>68</v>
      </c>
      <c r="F33" s="14">
        <v>0.558823529411765</v>
      </c>
      <c r="G33" s="15">
        <f t="shared" si="0"/>
        <v>68.5588235294118</v>
      </c>
      <c r="H33" s="14">
        <v>0.695532071263844</v>
      </c>
      <c r="I33" s="15">
        <f t="shared" si="1"/>
        <v>69.2543556006756</v>
      </c>
      <c r="J33" s="14">
        <v>0.627130504323487</v>
      </c>
      <c r="K33" s="15">
        <f t="shared" si="2"/>
        <v>69.8814861049991</v>
      </c>
      <c r="L33" s="14">
        <v>0.607747263195067</v>
      </c>
      <c r="M33" s="15">
        <f t="shared" si="3"/>
        <v>70.4892333681942</v>
      </c>
      <c r="N33" s="16">
        <v>0.575688014895299</v>
      </c>
    </row>
    <row r="34" spans="1:14">
      <c r="A34" s="1" t="s">
        <v>14</v>
      </c>
      <c r="B34" s="1" t="s">
        <v>47</v>
      </c>
      <c r="C34">
        <f t="shared" si="4"/>
        <v>59</v>
      </c>
      <c r="D34" s="2">
        <v>41</v>
      </c>
      <c r="E34" s="13">
        <v>49</v>
      </c>
      <c r="F34" s="14">
        <v>2.71428571428571</v>
      </c>
      <c r="G34" s="15">
        <f t="shared" si="0"/>
        <v>51.7142857142857</v>
      </c>
      <c r="H34" s="14">
        <v>0.676480657309141</v>
      </c>
      <c r="I34" s="15">
        <f t="shared" si="1"/>
        <v>52.3907663715949</v>
      </c>
      <c r="J34" s="14">
        <v>0.58228480127821</v>
      </c>
      <c r="K34" s="15">
        <f t="shared" si="2"/>
        <v>52.9730511728731</v>
      </c>
      <c r="L34" s="14">
        <v>0.656210790464241</v>
      </c>
      <c r="M34" s="15">
        <f t="shared" si="3"/>
        <v>53.6292619633373</v>
      </c>
      <c r="N34" s="16">
        <v>0.638061065151666</v>
      </c>
    </row>
    <row r="35" spans="1:14">
      <c r="A35" s="1" t="s">
        <v>14</v>
      </c>
      <c r="B35" s="1" t="s">
        <v>48</v>
      </c>
      <c r="C35">
        <f t="shared" ref="C35:C66" si="5">100-D35</f>
        <v>48.1</v>
      </c>
      <c r="D35" s="2">
        <v>51.9</v>
      </c>
      <c r="E35" s="13">
        <v>0</v>
      </c>
      <c r="F35" s="17">
        <v>0</v>
      </c>
      <c r="G35" s="15">
        <f t="shared" si="0"/>
        <v>0</v>
      </c>
      <c r="H35" s="14">
        <v>0.715657645181684</v>
      </c>
      <c r="I35" s="15">
        <f t="shared" si="1"/>
        <v>0.715657645181684</v>
      </c>
      <c r="J35" s="14">
        <v>0.738672565826365</v>
      </c>
      <c r="K35" s="15">
        <f t="shared" si="2"/>
        <v>1.45433021100805</v>
      </c>
      <c r="L35" s="14">
        <v>0.748824021401921</v>
      </c>
      <c r="M35" s="15">
        <f t="shared" si="3"/>
        <v>2.20315423240997</v>
      </c>
      <c r="N35" s="16">
        <v>0.775230132344293</v>
      </c>
    </row>
    <row r="36" spans="1:14">
      <c r="A36" s="1" t="s">
        <v>14</v>
      </c>
      <c r="B36" s="1" t="s">
        <v>49</v>
      </c>
      <c r="C36">
        <f t="shared" si="5"/>
        <v>79.8</v>
      </c>
      <c r="D36" s="2">
        <v>20.2</v>
      </c>
      <c r="E36" s="13">
        <v>5307</v>
      </c>
      <c r="F36" s="14">
        <v>0.727341247409082</v>
      </c>
      <c r="G36" s="15">
        <f t="shared" si="0"/>
        <v>5307.72734124741</v>
      </c>
      <c r="H36" s="14">
        <v>0.718128056408507</v>
      </c>
      <c r="I36" s="15">
        <f t="shared" si="1"/>
        <v>5308.44546930382</v>
      </c>
      <c r="J36" s="14">
        <v>0.740984218881315</v>
      </c>
      <c r="K36" s="15">
        <f t="shared" si="2"/>
        <v>5309.1864535227</v>
      </c>
      <c r="L36" s="14">
        <v>0.72842431134698</v>
      </c>
      <c r="M36" s="15">
        <f t="shared" si="3"/>
        <v>5309.91487783405</v>
      </c>
      <c r="N36" s="16">
        <v>0.692616908401275</v>
      </c>
    </row>
    <row r="37" spans="1:14">
      <c r="A37" s="1" t="s">
        <v>14</v>
      </c>
      <c r="B37" s="1" t="s">
        <v>50</v>
      </c>
      <c r="C37">
        <f t="shared" si="5"/>
        <v>75.6</v>
      </c>
      <c r="D37" s="2">
        <v>24.4</v>
      </c>
      <c r="E37" s="13">
        <v>33408</v>
      </c>
      <c r="F37" s="14">
        <v>0.68845785440613</v>
      </c>
      <c r="G37" s="15">
        <f t="shared" si="0"/>
        <v>33408.6884578544</v>
      </c>
      <c r="H37" s="14">
        <v>0.667596268602187</v>
      </c>
      <c r="I37" s="15">
        <f t="shared" si="1"/>
        <v>33409.356054123</v>
      </c>
      <c r="J37" s="14">
        <v>0.614997858093026</v>
      </c>
      <c r="K37" s="15">
        <f t="shared" si="2"/>
        <v>33409.9710519811</v>
      </c>
      <c r="L37" s="14">
        <v>0.615505754088431</v>
      </c>
      <c r="M37" s="15">
        <f t="shared" si="3"/>
        <v>33410.5865577352</v>
      </c>
      <c r="N37" s="16">
        <v>0.688233105090801</v>
      </c>
    </row>
    <row r="38" spans="1:14">
      <c r="A38" s="1" t="s">
        <v>14</v>
      </c>
      <c r="B38" s="1" t="s">
        <v>51</v>
      </c>
      <c r="C38">
        <f t="shared" si="5"/>
        <v>68.5</v>
      </c>
      <c r="D38" s="2">
        <v>31.5</v>
      </c>
      <c r="E38" s="13">
        <v>0</v>
      </c>
      <c r="F38" s="17">
        <v>0</v>
      </c>
      <c r="G38" s="15">
        <f t="shared" si="0"/>
        <v>0</v>
      </c>
      <c r="H38" s="14">
        <v>0.62966670913956</v>
      </c>
      <c r="I38" s="15">
        <f t="shared" si="1"/>
        <v>0.62966670913956</v>
      </c>
      <c r="J38" s="14">
        <v>0.640577362804878</v>
      </c>
      <c r="K38" s="15">
        <f t="shared" si="2"/>
        <v>1.27024407194444</v>
      </c>
      <c r="L38" s="14">
        <v>0.652994066543812</v>
      </c>
      <c r="M38" s="15">
        <f t="shared" si="3"/>
        <v>1.92323813848825</v>
      </c>
      <c r="N38" s="16">
        <v>0.622079375477672</v>
      </c>
    </row>
    <row r="39" spans="1:14">
      <c r="A39" s="1" t="s">
        <v>52</v>
      </c>
      <c r="B39" s="1" t="s">
        <v>15</v>
      </c>
      <c r="C39">
        <f t="shared" si="5"/>
        <v>64.1</v>
      </c>
      <c r="D39" s="2">
        <v>35.9</v>
      </c>
    </row>
    <row r="40" spans="1:14">
      <c r="A40" s="1" t="s">
        <v>52</v>
      </c>
      <c r="B40" s="1" t="s">
        <v>16</v>
      </c>
      <c r="C40">
        <f t="shared" si="5"/>
        <v>52.3</v>
      </c>
      <c r="D40" s="2">
        <v>47.7</v>
      </c>
    </row>
    <row r="41" spans="1:14">
      <c r="A41" s="1" t="s">
        <v>52</v>
      </c>
      <c r="B41" s="1" t="s">
        <v>17</v>
      </c>
      <c r="C41">
        <f t="shared" si="5"/>
        <v>74.3</v>
      </c>
      <c r="D41" s="2">
        <v>25.7</v>
      </c>
    </row>
    <row r="42" spans="1:14">
      <c r="A42" s="1" t="s">
        <v>52</v>
      </c>
      <c r="B42" s="1" t="s">
        <v>18</v>
      </c>
      <c r="C42">
        <f t="shared" si="5"/>
        <v>72.6</v>
      </c>
      <c r="D42" s="2">
        <v>27.4</v>
      </c>
    </row>
    <row r="43" spans="1:14">
      <c r="A43" s="1" t="s">
        <v>52</v>
      </c>
      <c r="B43" s="1" t="s">
        <v>19</v>
      </c>
      <c r="C43">
        <f t="shared" si="5"/>
        <v>56.2</v>
      </c>
      <c r="D43" s="2">
        <v>43.8</v>
      </c>
    </row>
    <row r="44" spans="1:14">
      <c r="A44" s="1" t="s">
        <v>52</v>
      </c>
      <c r="B44" s="1" t="s">
        <v>20</v>
      </c>
      <c r="C44">
        <f t="shared" si="5"/>
        <v>77.1</v>
      </c>
      <c r="D44" s="2">
        <v>22.9</v>
      </c>
    </row>
    <row r="45" spans="1:14">
      <c r="A45" s="1" t="s">
        <v>52</v>
      </c>
      <c r="B45" s="1" t="s">
        <v>21</v>
      </c>
      <c r="C45">
        <f t="shared" si="5"/>
        <v>54.2</v>
      </c>
      <c r="D45" s="2">
        <v>45.8</v>
      </c>
    </row>
    <row r="46" spans="1:14">
      <c r="A46" s="1" t="s">
        <v>52</v>
      </c>
      <c r="B46" s="1" t="s">
        <v>22</v>
      </c>
      <c r="C46">
        <f t="shared" si="5"/>
        <v>58.1</v>
      </c>
      <c r="D46" s="2">
        <v>41.9</v>
      </c>
    </row>
    <row r="47" spans="1:14">
      <c r="A47" s="1" t="s">
        <v>52</v>
      </c>
      <c r="B47" s="1" t="s">
        <v>23</v>
      </c>
      <c r="C47">
        <f t="shared" si="5"/>
        <v>81.2</v>
      </c>
      <c r="D47" s="2">
        <v>18.8</v>
      </c>
    </row>
    <row r="48" spans="1:14">
      <c r="A48" s="1" t="s">
        <v>52</v>
      </c>
      <c r="B48" s="1" t="s">
        <v>24</v>
      </c>
      <c r="C48">
        <f t="shared" si="5"/>
        <v>58.5</v>
      </c>
      <c r="D48" s="2">
        <v>41.5</v>
      </c>
    </row>
    <row r="49" spans="1:4">
      <c r="A49" s="1" t="s">
        <v>52</v>
      </c>
      <c r="B49" s="1" t="s">
        <v>25</v>
      </c>
      <c r="C49">
        <f t="shared" si="5"/>
        <v>73.3</v>
      </c>
      <c r="D49" s="2">
        <v>26.7</v>
      </c>
    </row>
    <row r="50" spans="1:4">
      <c r="A50" s="1" t="s">
        <v>52</v>
      </c>
      <c r="B50" s="1" t="s">
        <v>26</v>
      </c>
      <c r="C50">
        <f t="shared" si="5"/>
        <v>74.8</v>
      </c>
      <c r="D50" s="2">
        <v>25.2</v>
      </c>
    </row>
    <row r="51" spans="1:4">
      <c r="A51" s="1" t="s">
        <v>52</v>
      </c>
      <c r="B51" s="1" t="s">
        <v>27</v>
      </c>
      <c r="C51">
        <f t="shared" si="5"/>
        <v>75.7</v>
      </c>
      <c r="D51" s="2">
        <v>24.3</v>
      </c>
    </row>
    <row r="52" spans="1:4">
      <c r="A52" s="1" t="s">
        <v>52</v>
      </c>
      <c r="B52" s="1" t="s">
        <v>28</v>
      </c>
      <c r="C52">
        <f t="shared" si="5"/>
        <v>71.5</v>
      </c>
      <c r="D52" s="2">
        <v>28.5</v>
      </c>
    </row>
    <row r="53" spans="1:4">
      <c r="A53" s="1" t="s">
        <v>52</v>
      </c>
      <c r="B53" s="1" t="s">
        <v>29</v>
      </c>
      <c r="C53">
        <f t="shared" si="5"/>
        <v>71.9</v>
      </c>
      <c r="D53" s="2">
        <v>28.1</v>
      </c>
    </row>
    <row r="54" spans="1:4">
      <c r="A54" s="1" t="s">
        <v>52</v>
      </c>
      <c r="B54" s="1" t="s">
        <v>30</v>
      </c>
      <c r="C54">
        <f t="shared" si="5"/>
        <v>67.4</v>
      </c>
      <c r="D54" s="2">
        <v>32.6</v>
      </c>
    </row>
    <row r="55" spans="1:4">
      <c r="A55" s="1" t="s">
        <v>52</v>
      </c>
      <c r="B55" s="1" t="s">
        <v>31</v>
      </c>
      <c r="C55">
        <f t="shared" si="5"/>
        <v>69.8</v>
      </c>
      <c r="D55" s="2">
        <v>30.2</v>
      </c>
    </row>
    <row r="56" spans="1:4">
      <c r="A56" s="1" t="s">
        <v>52</v>
      </c>
      <c r="B56" s="1" t="s">
        <v>32</v>
      </c>
      <c r="C56">
        <f t="shared" si="5"/>
        <v>68.6</v>
      </c>
      <c r="D56" s="2">
        <v>31.4</v>
      </c>
    </row>
    <row r="57" spans="1:4">
      <c r="A57" s="1" t="s">
        <v>52</v>
      </c>
      <c r="B57" s="1" t="s">
        <v>33</v>
      </c>
      <c r="C57">
        <f t="shared" si="5"/>
        <v>70.8</v>
      </c>
      <c r="D57" s="2">
        <v>29.2</v>
      </c>
    </row>
    <row r="58" spans="1:4">
      <c r="A58" s="1" t="s">
        <v>52</v>
      </c>
      <c r="B58" s="1" t="s">
        <v>34</v>
      </c>
      <c r="C58">
        <f t="shared" si="5"/>
        <v>72.7</v>
      </c>
      <c r="D58" s="2">
        <v>27.3</v>
      </c>
    </row>
    <row r="59" spans="1:4">
      <c r="A59" s="1" t="s">
        <v>52</v>
      </c>
      <c r="B59" s="1" t="s">
        <v>35</v>
      </c>
      <c r="C59">
        <f t="shared" si="5"/>
        <v>48.9</v>
      </c>
      <c r="D59" s="2">
        <v>51.1</v>
      </c>
    </row>
    <row r="60" spans="1:4">
      <c r="A60" s="1" t="s">
        <v>52</v>
      </c>
      <c r="B60" s="1" t="s">
        <v>36</v>
      </c>
      <c r="C60">
        <f t="shared" si="5"/>
        <v>47.7</v>
      </c>
      <c r="D60" s="2">
        <v>52.3</v>
      </c>
    </row>
    <row r="61" spans="1:4">
      <c r="A61" s="1" t="s">
        <v>52</v>
      </c>
      <c r="B61" s="1" t="s">
        <v>37</v>
      </c>
      <c r="C61">
        <f t="shared" si="5"/>
        <v>57.1</v>
      </c>
      <c r="D61" s="2">
        <v>42.9</v>
      </c>
    </row>
    <row r="62" spans="1:4">
      <c r="A62" s="1" t="s">
        <v>52</v>
      </c>
      <c r="B62" s="1" t="s">
        <v>38</v>
      </c>
      <c r="C62">
        <f t="shared" si="5"/>
        <v>70.1</v>
      </c>
      <c r="D62" s="2">
        <v>29.9</v>
      </c>
    </row>
    <row r="63" spans="1:4">
      <c r="A63" s="1" t="s">
        <v>52</v>
      </c>
      <c r="B63" s="1" t="s">
        <v>39</v>
      </c>
      <c r="C63">
        <f t="shared" si="5"/>
        <v>79.4</v>
      </c>
      <c r="D63" s="2">
        <v>20.6</v>
      </c>
    </row>
    <row r="64" spans="1:4">
      <c r="A64" s="1" t="s">
        <v>52</v>
      </c>
      <c r="B64" s="1" t="s">
        <v>40</v>
      </c>
      <c r="C64">
        <f t="shared" si="5"/>
        <v>60</v>
      </c>
      <c r="D64" s="2">
        <v>40</v>
      </c>
    </row>
    <row r="65" spans="1:4">
      <c r="A65" s="1" t="s">
        <v>52</v>
      </c>
      <c r="B65" s="1" t="s">
        <v>41</v>
      </c>
      <c r="C65">
        <f t="shared" si="5"/>
        <v>69.3</v>
      </c>
      <c r="D65" s="2">
        <v>30.7</v>
      </c>
    </row>
    <row r="66" spans="1:4">
      <c r="A66" s="1" t="s">
        <v>52</v>
      </c>
      <c r="B66" s="1" t="s">
        <v>42</v>
      </c>
      <c r="C66">
        <f t="shared" si="5"/>
        <v>64.3</v>
      </c>
      <c r="D66" s="2">
        <v>35.7</v>
      </c>
    </row>
    <row r="67" spans="1:4">
      <c r="A67" s="1" t="s">
        <v>52</v>
      </c>
      <c r="B67" s="1" t="s">
        <v>43</v>
      </c>
      <c r="C67">
        <f t="shared" ref="C67:C98" si="6">100-D67</f>
        <v>71.8</v>
      </c>
      <c r="D67" s="2">
        <v>28.2</v>
      </c>
    </row>
    <row r="68" spans="1:4">
      <c r="A68" s="1" t="s">
        <v>52</v>
      </c>
      <c r="B68" s="1" t="s">
        <v>44</v>
      </c>
      <c r="C68">
        <f t="shared" si="6"/>
        <v>74.8</v>
      </c>
      <c r="D68" s="2">
        <v>25.2</v>
      </c>
    </row>
    <row r="69" spans="1:4">
      <c r="A69" s="1" t="s">
        <v>52</v>
      </c>
      <c r="B69" s="1" t="s">
        <v>45</v>
      </c>
      <c r="C69">
        <f t="shared" si="6"/>
        <v>81.1</v>
      </c>
      <c r="D69" s="2">
        <v>18.9</v>
      </c>
    </row>
    <row r="70" spans="1:4">
      <c r="A70" s="1" t="s">
        <v>52</v>
      </c>
      <c r="B70" s="1" t="s">
        <v>46</v>
      </c>
      <c r="C70">
        <f t="shared" si="6"/>
        <v>93.1</v>
      </c>
      <c r="D70" s="2">
        <v>6.9</v>
      </c>
    </row>
    <row r="71" spans="1:4">
      <c r="A71" s="1" t="s">
        <v>52</v>
      </c>
      <c r="B71" s="1" t="s">
        <v>47</v>
      </c>
      <c r="C71">
        <f t="shared" si="6"/>
        <v>74.7</v>
      </c>
      <c r="D71" s="2">
        <v>25.3</v>
      </c>
    </row>
    <row r="72" spans="1:4">
      <c r="A72" s="1" t="s">
        <v>52</v>
      </c>
      <c r="B72" s="1" t="s">
        <v>48</v>
      </c>
      <c r="C72">
        <f t="shared" si="6"/>
        <v>51.3</v>
      </c>
      <c r="D72" s="2">
        <v>48.7</v>
      </c>
    </row>
    <row r="73" spans="1:4">
      <c r="A73" s="1" t="s">
        <v>52</v>
      </c>
      <c r="B73" s="1" t="s">
        <v>49</v>
      </c>
      <c r="C73">
        <f t="shared" si="6"/>
        <v>61.8</v>
      </c>
      <c r="D73" s="2">
        <v>38.2</v>
      </c>
    </row>
    <row r="74" spans="1:4">
      <c r="A74" s="1" t="s">
        <v>52</v>
      </c>
      <c r="B74" s="1" t="s">
        <v>50</v>
      </c>
      <c r="C74">
        <f t="shared" si="6"/>
        <v>73.8</v>
      </c>
      <c r="D74" s="2">
        <v>26.2</v>
      </c>
    </row>
    <row r="75" spans="1:4">
      <c r="A75" s="1" t="s">
        <v>52</v>
      </c>
      <c r="B75" s="1" t="s">
        <v>51</v>
      </c>
      <c r="C75">
        <f t="shared" si="6"/>
        <v>62</v>
      </c>
      <c r="D75" s="2">
        <v>38</v>
      </c>
    </row>
    <row r="76" spans="1:4">
      <c r="A76" s="1" t="s">
        <v>53</v>
      </c>
      <c r="B76" s="1" t="s">
        <v>15</v>
      </c>
      <c r="C76">
        <f t="shared" si="6"/>
        <v>73</v>
      </c>
      <c r="D76" s="2">
        <v>27</v>
      </c>
    </row>
    <row r="77" spans="1:4">
      <c r="A77" s="1" t="s">
        <v>53</v>
      </c>
      <c r="B77" s="1" t="s">
        <v>16</v>
      </c>
      <c r="C77">
        <f t="shared" si="6"/>
        <v>82.4</v>
      </c>
      <c r="D77" s="2">
        <v>17.6</v>
      </c>
    </row>
    <row r="78" spans="1:4">
      <c r="A78" s="1" t="s">
        <v>53</v>
      </c>
      <c r="B78" s="1" t="s">
        <v>17</v>
      </c>
      <c r="C78">
        <f t="shared" si="6"/>
        <v>70.2</v>
      </c>
      <c r="D78" s="2">
        <v>29.8</v>
      </c>
    </row>
    <row r="79" spans="1:4">
      <c r="A79" s="1" t="s">
        <v>53</v>
      </c>
      <c r="B79" s="1" t="s">
        <v>18</v>
      </c>
      <c r="C79">
        <f t="shared" si="6"/>
        <v>85.4</v>
      </c>
      <c r="D79" s="2">
        <v>14.6</v>
      </c>
    </row>
    <row r="80" spans="1:4">
      <c r="A80" s="1" t="s">
        <v>53</v>
      </c>
      <c r="B80" s="1" t="s">
        <v>19</v>
      </c>
      <c r="C80">
        <f t="shared" si="6"/>
        <v>85.1</v>
      </c>
      <c r="D80" s="2">
        <v>14.9</v>
      </c>
    </row>
    <row r="81" spans="1:4">
      <c r="A81" s="1" t="s">
        <v>53</v>
      </c>
      <c r="B81" s="1" t="s">
        <v>20</v>
      </c>
      <c r="C81">
        <f t="shared" si="6"/>
        <v>95.1</v>
      </c>
      <c r="D81" s="2">
        <v>4.9</v>
      </c>
    </row>
    <row r="82" spans="1:4">
      <c r="A82" s="1" t="s">
        <v>53</v>
      </c>
      <c r="B82" s="1" t="s">
        <v>21</v>
      </c>
      <c r="C82">
        <f t="shared" si="6"/>
        <v>82.4</v>
      </c>
      <c r="D82" s="2">
        <v>17.6</v>
      </c>
    </row>
    <row r="83" spans="1:4">
      <c r="A83" s="1" t="s">
        <v>53</v>
      </c>
      <c r="B83" s="1" t="s">
        <v>22</v>
      </c>
      <c r="C83">
        <f t="shared" si="6"/>
        <v>95.6</v>
      </c>
      <c r="D83" s="2">
        <v>4.4</v>
      </c>
    </row>
    <row r="84" spans="1:4">
      <c r="A84" s="1" t="s">
        <v>53</v>
      </c>
      <c r="B84" s="1" t="s">
        <v>23</v>
      </c>
      <c r="C84">
        <f t="shared" si="6"/>
        <v>85.4</v>
      </c>
      <c r="D84" s="2">
        <v>14.6</v>
      </c>
    </row>
    <row r="85" spans="1:4">
      <c r="A85" s="1" t="s">
        <v>53</v>
      </c>
      <c r="B85" s="1" t="s">
        <v>24</v>
      </c>
      <c r="C85">
        <f t="shared" si="6"/>
        <v>90.9</v>
      </c>
      <c r="D85" s="2">
        <v>9.1</v>
      </c>
    </row>
    <row r="86" spans="1:4">
      <c r="A86" s="1" t="s">
        <v>53</v>
      </c>
      <c r="B86" s="1" t="s">
        <v>25</v>
      </c>
      <c r="C86">
        <f t="shared" si="6"/>
        <v>85.2</v>
      </c>
      <c r="D86" s="2">
        <v>14.8</v>
      </c>
    </row>
    <row r="87" spans="1:4">
      <c r="A87" s="1" t="s">
        <v>53</v>
      </c>
      <c r="B87" s="1" t="s">
        <v>26</v>
      </c>
      <c r="C87">
        <f t="shared" si="6"/>
        <v>92.6</v>
      </c>
      <c r="D87" s="2">
        <v>7.4</v>
      </c>
    </row>
    <row r="88" spans="1:4">
      <c r="A88" s="1" t="s">
        <v>53</v>
      </c>
      <c r="B88" s="1" t="s">
        <v>27</v>
      </c>
      <c r="C88">
        <f t="shared" si="6"/>
        <v>71</v>
      </c>
      <c r="D88" s="2">
        <v>29</v>
      </c>
    </row>
    <row r="89" spans="1:4">
      <c r="A89" s="1" t="s">
        <v>53</v>
      </c>
      <c r="B89" s="1" t="s">
        <v>28</v>
      </c>
      <c r="C89">
        <f t="shared" si="6"/>
        <v>77.1</v>
      </c>
      <c r="D89" s="2">
        <v>22.9</v>
      </c>
    </row>
    <row r="90" spans="1:4">
      <c r="A90" s="1" t="s">
        <v>53</v>
      </c>
      <c r="B90" s="1" t="s">
        <v>29</v>
      </c>
      <c r="C90">
        <f t="shared" si="6"/>
        <v>90.8</v>
      </c>
      <c r="D90" s="2">
        <v>9.2</v>
      </c>
    </row>
    <row r="91" spans="1:4">
      <c r="A91" s="1" t="s">
        <v>53</v>
      </c>
      <c r="B91" s="1" t="s">
        <v>30</v>
      </c>
      <c r="C91">
        <f t="shared" si="6"/>
        <v>92.8</v>
      </c>
      <c r="D91" s="2">
        <v>7.2</v>
      </c>
    </row>
    <row r="92" spans="1:4">
      <c r="A92" s="1" t="s">
        <v>53</v>
      </c>
      <c r="B92" s="1" t="s">
        <v>31</v>
      </c>
      <c r="C92">
        <f t="shared" si="6"/>
        <v>93.7</v>
      </c>
      <c r="D92" s="2">
        <v>6.3</v>
      </c>
    </row>
    <row r="93" spans="1:4">
      <c r="A93" s="1" t="s">
        <v>53</v>
      </c>
      <c r="B93" s="1" t="s">
        <v>32</v>
      </c>
      <c r="C93">
        <f t="shared" si="6"/>
        <v>94.6</v>
      </c>
      <c r="D93" s="2">
        <v>5.4</v>
      </c>
    </row>
    <row r="94" spans="1:4">
      <c r="A94" s="1" t="s">
        <v>53</v>
      </c>
      <c r="B94" s="1" t="s">
        <v>33</v>
      </c>
      <c r="C94">
        <f t="shared" si="6"/>
        <v>77.5</v>
      </c>
      <c r="D94" s="2">
        <v>22.5</v>
      </c>
    </row>
    <row r="95" spans="1:4">
      <c r="A95" s="1" t="s">
        <v>53</v>
      </c>
      <c r="B95" s="1" t="s">
        <v>34</v>
      </c>
      <c r="C95">
        <f t="shared" si="6"/>
        <v>88.1</v>
      </c>
      <c r="D95" s="2">
        <v>11.9</v>
      </c>
    </row>
    <row r="96" spans="1:4">
      <c r="A96" s="1" t="s">
        <v>53</v>
      </c>
      <c r="B96" s="1" t="s">
        <v>35</v>
      </c>
      <c r="C96">
        <f t="shared" si="6"/>
        <v>26.3</v>
      </c>
      <c r="D96" s="2">
        <v>73.7</v>
      </c>
    </row>
    <row r="97" spans="1:4">
      <c r="A97" s="1" t="s">
        <v>53</v>
      </c>
      <c r="B97" s="1" t="s">
        <v>36</v>
      </c>
      <c r="C97">
        <f t="shared" si="6"/>
        <v>56.6</v>
      </c>
      <c r="D97" s="2">
        <v>43.4</v>
      </c>
    </row>
    <row r="98" spans="1:4">
      <c r="A98" s="1" t="s">
        <v>53</v>
      </c>
      <c r="B98" s="1" t="s">
        <v>37</v>
      </c>
      <c r="C98">
        <f t="shared" si="6"/>
        <v>75.8</v>
      </c>
      <c r="D98" s="2">
        <v>24.2</v>
      </c>
    </row>
    <row r="99" spans="1:4">
      <c r="A99" s="1" t="s">
        <v>53</v>
      </c>
      <c r="B99" s="1" t="s">
        <v>38</v>
      </c>
      <c r="C99">
        <f t="shared" ref="C99:C130" si="7">100-D99</f>
        <v>76.1</v>
      </c>
      <c r="D99" s="2">
        <v>23.9</v>
      </c>
    </row>
    <row r="100" spans="1:4">
      <c r="A100" s="1" t="s">
        <v>53</v>
      </c>
      <c r="B100" s="1" t="s">
        <v>39</v>
      </c>
      <c r="C100">
        <f t="shared" si="7"/>
        <v>68</v>
      </c>
      <c r="D100" s="2">
        <v>32</v>
      </c>
    </row>
    <row r="101" spans="1:4">
      <c r="A101" s="1" t="s">
        <v>53</v>
      </c>
      <c r="B101" s="1" t="s">
        <v>40</v>
      </c>
      <c r="C101">
        <f t="shared" si="7"/>
        <v>76</v>
      </c>
      <c r="D101" s="2">
        <v>24</v>
      </c>
    </row>
    <row r="102" spans="1:4">
      <c r="A102" s="1" t="s">
        <v>53</v>
      </c>
      <c r="B102" s="1" t="s">
        <v>41</v>
      </c>
      <c r="C102">
        <f t="shared" si="7"/>
        <v>80</v>
      </c>
      <c r="D102" s="2">
        <v>20</v>
      </c>
    </row>
    <row r="103" spans="1:4">
      <c r="A103" s="1" t="s">
        <v>53</v>
      </c>
      <c r="B103" s="1" t="s">
        <v>42</v>
      </c>
      <c r="C103">
        <f t="shared" si="7"/>
        <v>78.8</v>
      </c>
      <c r="D103" s="2">
        <v>21.2</v>
      </c>
    </row>
    <row r="104" spans="1:4">
      <c r="A104" s="1" t="s">
        <v>53</v>
      </c>
      <c r="B104" s="1" t="s">
        <v>43</v>
      </c>
      <c r="C104">
        <f t="shared" si="7"/>
        <v>73.3</v>
      </c>
      <c r="D104" s="2">
        <v>26.7</v>
      </c>
    </row>
    <row r="105" spans="1:4">
      <c r="A105" s="1" t="s">
        <v>53</v>
      </c>
      <c r="B105" s="1" t="s">
        <v>44</v>
      </c>
      <c r="C105">
        <f t="shared" si="7"/>
        <v>88.3</v>
      </c>
      <c r="D105" s="2">
        <v>11.7</v>
      </c>
    </row>
    <row r="106" spans="1:4">
      <c r="A106" s="1" t="s">
        <v>53</v>
      </c>
      <c r="B106" s="1" t="s">
        <v>45</v>
      </c>
      <c r="C106">
        <f t="shared" si="7"/>
        <v>95.6</v>
      </c>
      <c r="D106" s="2">
        <v>4.4</v>
      </c>
    </row>
    <row r="107" spans="1:4">
      <c r="A107" s="1" t="s">
        <v>53</v>
      </c>
      <c r="B107" s="1" t="s">
        <v>46</v>
      </c>
      <c r="C107">
        <f t="shared" si="7"/>
        <v>83.5</v>
      </c>
      <c r="D107" s="2">
        <v>16.5</v>
      </c>
    </row>
    <row r="108" spans="1:4">
      <c r="A108" s="1" t="s">
        <v>53</v>
      </c>
      <c r="B108" s="1" t="s">
        <v>47</v>
      </c>
      <c r="C108">
        <f t="shared" si="7"/>
        <v>92.8</v>
      </c>
      <c r="D108" s="2">
        <v>7.2</v>
      </c>
    </row>
    <row r="109" spans="1:4">
      <c r="A109" s="1" t="s">
        <v>53</v>
      </c>
      <c r="B109" s="1" t="s">
        <v>48</v>
      </c>
      <c r="C109">
        <f t="shared" si="7"/>
        <v>67.4</v>
      </c>
      <c r="D109" s="2">
        <v>32.6</v>
      </c>
    </row>
    <row r="110" spans="1:4">
      <c r="A110" s="1" t="s">
        <v>53</v>
      </c>
      <c r="B110" s="1" t="s">
        <v>49</v>
      </c>
      <c r="C110">
        <f t="shared" si="7"/>
        <v>84.9</v>
      </c>
      <c r="D110" s="2">
        <v>15.1</v>
      </c>
    </row>
    <row r="111" spans="1:4">
      <c r="A111" s="1" t="s">
        <v>53</v>
      </c>
      <c r="B111" s="1" t="s">
        <v>50</v>
      </c>
      <c r="C111">
        <f t="shared" si="7"/>
        <v>52.9</v>
      </c>
      <c r="D111" s="2">
        <v>47.1</v>
      </c>
    </row>
    <row r="112" spans="1:4">
      <c r="A112" s="1" t="s">
        <v>53</v>
      </c>
      <c r="B112" s="1" t="s">
        <v>51</v>
      </c>
      <c r="C112">
        <f t="shared" si="7"/>
        <v>74.8</v>
      </c>
      <c r="D112" s="2">
        <v>25.2</v>
      </c>
    </row>
    <row r="113" spans="1:4">
      <c r="A113" s="1" t="s">
        <v>54</v>
      </c>
      <c r="B113" s="1" t="s">
        <v>15</v>
      </c>
      <c r="C113">
        <f t="shared" si="7"/>
        <v>62</v>
      </c>
      <c r="D113" s="2">
        <v>38</v>
      </c>
    </row>
    <row r="114" spans="1:4">
      <c r="A114" s="1" t="s">
        <v>54</v>
      </c>
      <c r="B114" s="1" t="s">
        <v>16</v>
      </c>
      <c r="C114">
        <f t="shared" si="7"/>
        <v>79</v>
      </c>
      <c r="D114" s="2">
        <v>21</v>
      </c>
    </row>
    <row r="115" spans="1:4">
      <c r="A115" s="1" t="s">
        <v>54</v>
      </c>
      <c r="B115" s="1" t="s">
        <v>17</v>
      </c>
      <c r="C115">
        <f t="shared" si="7"/>
        <v>61.7</v>
      </c>
      <c r="D115" s="2">
        <v>38.3</v>
      </c>
    </row>
    <row r="116" spans="1:4">
      <c r="A116" s="1" t="s">
        <v>54</v>
      </c>
      <c r="B116" s="1" t="s">
        <v>18</v>
      </c>
      <c r="C116">
        <f t="shared" si="7"/>
        <v>80.4</v>
      </c>
      <c r="D116" s="2">
        <v>19.6</v>
      </c>
    </row>
    <row r="117" spans="1:4">
      <c r="A117" s="1" t="s">
        <v>54</v>
      </c>
      <c r="B117" s="1" t="s">
        <v>19</v>
      </c>
      <c r="C117">
        <f t="shared" si="7"/>
        <v>80</v>
      </c>
      <c r="D117" s="2">
        <v>20</v>
      </c>
    </row>
    <row r="118" spans="1:4">
      <c r="A118" s="1" t="s">
        <v>54</v>
      </c>
      <c r="B118" s="1" t="s">
        <v>20</v>
      </c>
      <c r="C118">
        <f t="shared" si="7"/>
        <v>91.9</v>
      </c>
      <c r="D118" s="2">
        <v>8.1</v>
      </c>
    </row>
    <row r="119" spans="1:4">
      <c r="A119" s="1" t="s">
        <v>54</v>
      </c>
      <c r="B119" s="1" t="s">
        <v>21</v>
      </c>
      <c r="C119">
        <f t="shared" si="7"/>
        <v>88</v>
      </c>
      <c r="D119" s="2">
        <v>12</v>
      </c>
    </row>
    <row r="120" spans="1:4">
      <c r="A120" s="1" t="s">
        <v>54</v>
      </c>
      <c r="B120" s="1" t="s">
        <v>22</v>
      </c>
      <c r="C120">
        <f t="shared" si="7"/>
        <v>77.1</v>
      </c>
      <c r="D120" s="2">
        <v>22.9</v>
      </c>
    </row>
    <row r="121" spans="1:4">
      <c r="A121" s="1" t="s">
        <v>54</v>
      </c>
      <c r="B121" s="1" t="s">
        <v>23</v>
      </c>
      <c r="C121">
        <f t="shared" si="7"/>
        <v>81.7</v>
      </c>
      <c r="D121" s="2">
        <v>18.3</v>
      </c>
    </row>
    <row r="122" spans="1:4">
      <c r="A122" s="1" t="s">
        <v>54</v>
      </c>
      <c r="B122" s="1" t="s">
        <v>24</v>
      </c>
      <c r="C122">
        <f t="shared" si="7"/>
        <v>52.1</v>
      </c>
      <c r="D122" s="2">
        <v>47.9</v>
      </c>
    </row>
    <row r="123" spans="1:4">
      <c r="A123" s="1" t="s">
        <v>54</v>
      </c>
      <c r="B123" s="1" t="s">
        <v>25</v>
      </c>
      <c r="C123">
        <f t="shared" si="7"/>
        <v>61.5</v>
      </c>
      <c r="D123" s="2">
        <v>38.5</v>
      </c>
    </row>
    <row r="124" spans="1:4">
      <c r="A124" s="1" t="s">
        <v>54</v>
      </c>
      <c r="B124" s="1" t="s">
        <v>26</v>
      </c>
      <c r="C124">
        <f t="shared" si="7"/>
        <v>70.9</v>
      </c>
      <c r="D124" s="2">
        <v>29.1</v>
      </c>
    </row>
    <row r="125" spans="1:4">
      <c r="A125" s="1" t="s">
        <v>54</v>
      </c>
      <c r="B125" s="1" t="s">
        <v>27</v>
      </c>
      <c r="C125">
        <f t="shared" si="7"/>
        <v>57.4</v>
      </c>
      <c r="D125" s="2">
        <v>42.6</v>
      </c>
    </row>
    <row r="126" spans="1:4">
      <c r="A126" s="1" t="s">
        <v>54</v>
      </c>
      <c r="B126" s="1" t="s">
        <v>28</v>
      </c>
      <c r="C126">
        <f t="shared" si="7"/>
        <v>88.1</v>
      </c>
      <c r="D126" s="2">
        <v>11.9</v>
      </c>
    </row>
    <row r="127" spans="1:4">
      <c r="A127" s="1" t="s">
        <v>54</v>
      </c>
      <c r="B127" s="1" t="s">
        <v>29</v>
      </c>
      <c r="C127">
        <f t="shared" si="7"/>
        <v>81.7</v>
      </c>
      <c r="D127" s="2">
        <v>18.3</v>
      </c>
    </row>
    <row r="128" spans="1:4">
      <c r="A128" s="1" t="s">
        <v>54</v>
      </c>
      <c r="B128" s="1" t="s">
        <v>30</v>
      </c>
      <c r="C128">
        <f t="shared" si="7"/>
        <v>94.1</v>
      </c>
      <c r="D128" s="2">
        <v>5.9</v>
      </c>
    </row>
    <row r="129" spans="1:4">
      <c r="A129" s="1" t="s">
        <v>54</v>
      </c>
      <c r="B129" s="1" t="s">
        <v>31</v>
      </c>
      <c r="C129">
        <f t="shared" si="7"/>
        <v>74.6</v>
      </c>
      <c r="D129" s="2">
        <v>25.4</v>
      </c>
    </row>
    <row r="130" spans="1:4">
      <c r="A130" s="1" t="s">
        <v>54</v>
      </c>
      <c r="B130" s="1" t="s">
        <v>32</v>
      </c>
      <c r="C130">
        <f t="shared" si="7"/>
        <v>58</v>
      </c>
      <c r="D130" s="2">
        <v>42</v>
      </c>
    </row>
    <row r="131" spans="1:4">
      <c r="A131" s="1" t="s">
        <v>54</v>
      </c>
      <c r="B131" s="1" t="s">
        <v>33</v>
      </c>
      <c r="C131">
        <f t="shared" ref="C131:C162" si="8">100-D131</f>
        <v>83.8</v>
      </c>
      <c r="D131" s="2">
        <v>16.2</v>
      </c>
    </row>
    <row r="132" spans="1:4">
      <c r="A132" s="1" t="s">
        <v>54</v>
      </c>
      <c r="B132" s="1" t="s">
        <v>34</v>
      </c>
      <c r="C132">
        <f t="shared" si="8"/>
        <v>83.7</v>
      </c>
      <c r="D132" s="2">
        <v>16.3</v>
      </c>
    </row>
    <row r="133" spans="1:4">
      <c r="A133" s="1" t="s">
        <v>54</v>
      </c>
      <c r="B133" s="1" t="s">
        <v>35</v>
      </c>
      <c r="C133">
        <f t="shared" si="8"/>
        <v>73.4</v>
      </c>
      <c r="D133" s="2">
        <v>26.6</v>
      </c>
    </row>
    <row r="134" spans="1:4">
      <c r="A134" s="1" t="s">
        <v>54</v>
      </c>
      <c r="B134" s="1" t="s">
        <v>36</v>
      </c>
      <c r="C134">
        <f t="shared" si="8"/>
        <v>79.8</v>
      </c>
      <c r="D134" s="2">
        <v>20.2</v>
      </c>
    </row>
    <row r="135" spans="1:4">
      <c r="A135" s="1" t="s">
        <v>54</v>
      </c>
      <c r="B135" s="1" t="s">
        <v>37</v>
      </c>
      <c r="C135">
        <f t="shared" si="8"/>
        <v>57.6</v>
      </c>
      <c r="D135" s="2">
        <v>42.4</v>
      </c>
    </row>
    <row r="136" spans="1:4">
      <c r="A136" s="1" t="s">
        <v>54</v>
      </c>
      <c r="B136" s="1" t="s">
        <v>38</v>
      </c>
      <c r="C136">
        <f t="shared" si="8"/>
        <v>62.7</v>
      </c>
      <c r="D136" s="2">
        <v>37.3</v>
      </c>
    </row>
    <row r="137" spans="1:4">
      <c r="A137" s="1" t="s">
        <v>54</v>
      </c>
      <c r="B137" s="1" t="s">
        <v>39</v>
      </c>
      <c r="C137">
        <f t="shared" si="8"/>
        <v>88.8</v>
      </c>
      <c r="D137" s="2">
        <v>11.2</v>
      </c>
    </row>
    <row r="138" spans="1:4">
      <c r="A138" s="1" t="s">
        <v>54</v>
      </c>
      <c r="B138" s="1" t="s">
        <v>40</v>
      </c>
      <c r="C138">
        <f t="shared" si="8"/>
        <v>53</v>
      </c>
      <c r="D138" s="2">
        <v>47</v>
      </c>
    </row>
    <row r="139" spans="1:4">
      <c r="A139" s="1" t="s">
        <v>54</v>
      </c>
      <c r="B139" s="1" t="s">
        <v>41</v>
      </c>
      <c r="C139">
        <f t="shared" si="8"/>
        <v>88.9</v>
      </c>
      <c r="D139" s="2">
        <v>11.1</v>
      </c>
    </row>
    <row r="140" spans="1:4">
      <c r="A140" s="1" t="s">
        <v>54</v>
      </c>
      <c r="B140" s="1" t="s">
        <v>42</v>
      </c>
      <c r="C140">
        <f t="shared" si="8"/>
        <v>76</v>
      </c>
      <c r="D140" s="2">
        <v>24</v>
      </c>
    </row>
    <row r="141" spans="1:4">
      <c r="A141" s="1" t="s">
        <v>54</v>
      </c>
      <c r="B141" s="1" t="s">
        <v>43</v>
      </c>
      <c r="C141">
        <f t="shared" si="8"/>
        <v>90.8</v>
      </c>
      <c r="D141" s="2">
        <v>9.2</v>
      </c>
    </row>
    <row r="142" spans="1:4">
      <c r="A142" s="1" t="s">
        <v>54</v>
      </c>
      <c r="B142" s="1" t="s">
        <v>44</v>
      </c>
      <c r="C142">
        <f t="shared" si="8"/>
        <v>85.9</v>
      </c>
      <c r="D142" s="2">
        <v>14.1</v>
      </c>
    </row>
    <row r="143" spans="1:4">
      <c r="A143" s="1" t="s">
        <v>54</v>
      </c>
      <c r="B143" s="1" t="s">
        <v>45</v>
      </c>
      <c r="C143">
        <f t="shared" si="8"/>
        <v>57.3</v>
      </c>
      <c r="D143" s="2">
        <v>42.7</v>
      </c>
    </row>
    <row r="144" spans="1:4">
      <c r="A144" s="1" t="s">
        <v>54</v>
      </c>
      <c r="B144" s="1" t="s">
        <v>46</v>
      </c>
      <c r="C144">
        <f t="shared" si="8"/>
        <v>88.4</v>
      </c>
      <c r="D144" s="2">
        <v>11.6</v>
      </c>
    </row>
    <row r="145" spans="1:4">
      <c r="A145" s="1" t="s">
        <v>54</v>
      </c>
      <c r="B145" s="1" t="s">
        <v>47</v>
      </c>
      <c r="C145">
        <f t="shared" si="8"/>
        <v>87.5</v>
      </c>
      <c r="D145" s="2">
        <v>12.5</v>
      </c>
    </row>
    <row r="146" spans="1:4">
      <c r="A146" s="1" t="s">
        <v>54</v>
      </c>
      <c r="B146" s="1" t="s">
        <v>48</v>
      </c>
      <c r="C146">
        <f t="shared" si="8"/>
        <v>68.8</v>
      </c>
      <c r="D146" s="2">
        <v>31.2</v>
      </c>
    </row>
    <row r="147" spans="1:4">
      <c r="A147" s="1" t="s">
        <v>54</v>
      </c>
      <c r="B147" s="1" t="s">
        <v>49</v>
      </c>
      <c r="C147">
        <f t="shared" si="8"/>
        <v>91.9</v>
      </c>
      <c r="D147" s="2">
        <v>8.1</v>
      </c>
    </row>
    <row r="148" spans="1:4">
      <c r="A148" s="1" t="s">
        <v>54</v>
      </c>
      <c r="B148" s="1" t="s">
        <v>50</v>
      </c>
      <c r="C148">
        <f t="shared" si="8"/>
        <v>64.1</v>
      </c>
      <c r="D148" s="2">
        <v>35.9</v>
      </c>
    </row>
    <row r="149" spans="1:4">
      <c r="A149" s="1" t="s">
        <v>54</v>
      </c>
      <c r="B149" s="1" t="s">
        <v>51</v>
      </c>
      <c r="C149">
        <f t="shared" si="8"/>
        <v>78</v>
      </c>
      <c r="D149" s="2">
        <v>22</v>
      </c>
    </row>
    <row r="150" spans="1:4">
      <c r="A150" s="1" t="s">
        <v>55</v>
      </c>
      <c r="B150" s="1" t="s">
        <v>15</v>
      </c>
      <c r="C150">
        <f t="shared" si="8"/>
        <v>96.3</v>
      </c>
      <c r="D150" s="2">
        <v>3.7</v>
      </c>
    </row>
    <row r="151" spans="1:4">
      <c r="A151" s="1" t="s">
        <v>55</v>
      </c>
      <c r="B151" s="1" t="s">
        <v>16</v>
      </c>
      <c r="C151">
        <f t="shared" si="8"/>
        <v>99.6</v>
      </c>
      <c r="D151" s="2">
        <v>0.4</v>
      </c>
    </row>
    <row r="152" spans="1:4">
      <c r="A152" s="1" t="s">
        <v>55</v>
      </c>
      <c r="B152" s="1" t="s">
        <v>17</v>
      </c>
      <c r="C152">
        <f t="shared" si="8"/>
        <v>84.6</v>
      </c>
      <c r="D152" s="2">
        <v>15.4</v>
      </c>
    </row>
    <row r="153" spans="1:4">
      <c r="A153" s="1" t="s">
        <v>55</v>
      </c>
      <c r="B153" s="1" t="s">
        <v>18</v>
      </c>
      <c r="C153">
        <f t="shared" si="8"/>
        <v>97.7</v>
      </c>
      <c r="D153" s="2">
        <v>2.3</v>
      </c>
    </row>
    <row r="154" spans="1:4">
      <c r="A154" s="1" t="s">
        <v>55</v>
      </c>
      <c r="B154" s="1" t="s">
        <v>19</v>
      </c>
      <c r="C154">
        <f t="shared" si="8"/>
        <v>92.7</v>
      </c>
      <c r="D154" s="2">
        <v>7.3</v>
      </c>
    </row>
    <row r="155" spans="1:4">
      <c r="A155" s="1" t="s">
        <v>55</v>
      </c>
      <c r="B155" s="1" t="s">
        <v>20</v>
      </c>
      <c r="C155">
        <f t="shared" si="8"/>
        <v>63.6</v>
      </c>
      <c r="D155" s="2">
        <v>36.4</v>
      </c>
    </row>
    <row r="156" spans="1:4">
      <c r="A156" s="1" t="s">
        <v>55</v>
      </c>
      <c r="B156" s="1" t="s">
        <v>21</v>
      </c>
      <c r="C156">
        <f t="shared" si="8"/>
        <v>96.7</v>
      </c>
      <c r="D156" s="2">
        <v>3.3</v>
      </c>
    </row>
    <row r="157" spans="1:4">
      <c r="A157" s="1" t="s">
        <v>55</v>
      </c>
      <c r="B157" s="1" t="s">
        <v>22</v>
      </c>
      <c r="C157">
        <f t="shared" si="8"/>
        <v>87.8</v>
      </c>
      <c r="D157" s="2">
        <v>12.2</v>
      </c>
    </row>
    <row r="158" spans="1:4">
      <c r="A158" s="1" t="s">
        <v>55</v>
      </c>
      <c r="B158" s="1" t="s">
        <v>23</v>
      </c>
      <c r="C158">
        <f t="shared" si="8"/>
        <v>93.9</v>
      </c>
      <c r="D158" s="2">
        <v>6.1</v>
      </c>
    </row>
    <row r="159" spans="1:4">
      <c r="A159" s="1" t="s">
        <v>55</v>
      </c>
      <c r="B159" s="1" t="s">
        <v>24</v>
      </c>
      <c r="C159">
        <f t="shared" si="8"/>
        <v>96.7</v>
      </c>
      <c r="D159" s="2">
        <v>3.3</v>
      </c>
    </row>
    <row r="160" spans="1:4">
      <c r="A160" s="1" t="s">
        <v>55</v>
      </c>
      <c r="B160" s="1" t="s">
        <v>25</v>
      </c>
      <c r="C160">
        <f t="shared" si="8"/>
        <v>93.8</v>
      </c>
      <c r="D160" s="2">
        <v>6.2</v>
      </c>
    </row>
    <row r="161" spans="1:4">
      <c r="A161" s="1" t="s">
        <v>55</v>
      </c>
      <c r="B161" s="1" t="s">
        <v>26</v>
      </c>
      <c r="C161">
        <f t="shared" si="8"/>
        <v>97.2</v>
      </c>
      <c r="D161" s="2">
        <v>2.8</v>
      </c>
    </row>
    <row r="162" spans="1:4">
      <c r="A162" s="1" t="s">
        <v>55</v>
      </c>
      <c r="B162" s="1" t="s">
        <v>27</v>
      </c>
      <c r="C162">
        <f t="shared" si="8"/>
        <v>95.1</v>
      </c>
      <c r="D162" s="2">
        <v>4.9</v>
      </c>
    </row>
    <row r="163" spans="1:4">
      <c r="A163" s="1" t="s">
        <v>55</v>
      </c>
      <c r="B163" s="1" t="s">
        <v>28</v>
      </c>
      <c r="C163">
        <f t="shared" ref="C163:C186" si="9">100-D163</f>
        <v>89</v>
      </c>
      <c r="D163" s="2">
        <v>11</v>
      </c>
    </row>
    <row r="164" spans="1:4">
      <c r="A164" s="1" t="s">
        <v>55</v>
      </c>
      <c r="B164" s="1" t="s">
        <v>29</v>
      </c>
      <c r="C164">
        <f t="shared" si="9"/>
        <v>92.4</v>
      </c>
      <c r="D164" s="2">
        <v>7.6</v>
      </c>
    </row>
    <row r="165" spans="1:4">
      <c r="A165" s="1" t="s">
        <v>55</v>
      </c>
      <c r="B165" s="1" t="s">
        <v>30</v>
      </c>
      <c r="C165">
        <f t="shared" si="9"/>
        <v>92</v>
      </c>
      <c r="D165" s="2">
        <v>8</v>
      </c>
    </row>
    <row r="166" spans="1:4">
      <c r="A166" s="1" t="s">
        <v>55</v>
      </c>
      <c r="B166" s="1" t="s">
        <v>31</v>
      </c>
      <c r="C166">
        <f t="shared" si="9"/>
        <v>97.1</v>
      </c>
      <c r="D166" s="2">
        <v>2.9</v>
      </c>
    </row>
    <row r="167" spans="1:4">
      <c r="A167" s="1" t="s">
        <v>55</v>
      </c>
      <c r="B167" s="1" t="s">
        <v>32</v>
      </c>
      <c r="C167">
        <f t="shared" si="9"/>
        <v>98.1</v>
      </c>
      <c r="D167" s="2">
        <v>1.9</v>
      </c>
    </row>
    <row r="168" spans="1:4">
      <c r="A168" s="1" t="s">
        <v>55</v>
      </c>
      <c r="B168" s="1" t="s">
        <v>33</v>
      </c>
      <c r="C168">
        <f t="shared" si="9"/>
        <v>99.3</v>
      </c>
      <c r="D168" s="2">
        <v>0.7</v>
      </c>
    </row>
    <row r="169" spans="1:4">
      <c r="A169" s="1" t="s">
        <v>55</v>
      </c>
      <c r="B169" s="1" t="s">
        <v>34</v>
      </c>
      <c r="C169">
        <f t="shared" si="9"/>
        <v>95.3</v>
      </c>
      <c r="D169" s="2">
        <v>4.7</v>
      </c>
    </row>
    <row r="170" spans="1:4">
      <c r="A170" s="1" t="s">
        <v>55</v>
      </c>
      <c r="B170" s="1" t="s">
        <v>35</v>
      </c>
      <c r="C170">
        <f t="shared" si="9"/>
        <v>80.3</v>
      </c>
      <c r="D170" s="2">
        <v>19.7</v>
      </c>
    </row>
    <row r="171" spans="1:4">
      <c r="A171" s="1" t="s">
        <v>55</v>
      </c>
      <c r="B171" s="1" t="s">
        <v>36</v>
      </c>
      <c r="C171">
        <f t="shared" si="9"/>
        <v>97.9</v>
      </c>
      <c r="D171" s="2">
        <v>2.1</v>
      </c>
    </row>
    <row r="172" spans="1:4">
      <c r="A172" s="1" t="s">
        <v>55</v>
      </c>
      <c r="B172" s="1" t="s">
        <v>37</v>
      </c>
      <c r="C172">
        <f t="shared" si="9"/>
        <v>87.1</v>
      </c>
      <c r="D172" s="2">
        <v>12.9</v>
      </c>
    </row>
    <row r="173" spans="1:4">
      <c r="A173" s="1" t="s">
        <v>55</v>
      </c>
      <c r="B173" s="1" t="s">
        <v>38</v>
      </c>
      <c r="C173">
        <f t="shared" si="9"/>
        <v>90.3</v>
      </c>
      <c r="D173" s="2">
        <v>9.7</v>
      </c>
    </row>
    <row r="174" spans="1:4">
      <c r="A174" s="1" t="s">
        <v>55</v>
      </c>
      <c r="B174" s="1" t="s">
        <v>39</v>
      </c>
      <c r="C174">
        <f t="shared" si="9"/>
        <v>89.9</v>
      </c>
      <c r="D174" s="2">
        <v>10.1</v>
      </c>
    </row>
    <row r="175" spans="1:4">
      <c r="A175" s="1" t="s">
        <v>55</v>
      </c>
      <c r="B175" s="1" t="s">
        <v>40</v>
      </c>
      <c r="C175">
        <f t="shared" si="9"/>
        <v>99</v>
      </c>
      <c r="D175" s="2">
        <v>1</v>
      </c>
    </row>
    <row r="176" spans="1:4">
      <c r="A176" s="1" t="s">
        <v>55</v>
      </c>
      <c r="B176" s="1" t="s">
        <v>41</v>
      </c>
      <c r="C176">
        <f t="shared" si="9"/>
        <v>95.6</v>
      </c>
      <c r="D176" s="2">
        <v>4.4</v>
      </c>
    </row>
    <row r="177" spans="1:4">
      <c r="A177" s="1" t="s">
        <v>55</v>
      </c>
      <c r="B177" s="1" t="s">
        <v>42</v>
      </c>
      <c r="C177">
        <f t="shared" si="9"/>
        <v>86.8</v>
      </c>
      <c r="D177" s="2">
        <v>13.2</v>
      </c>
    </row>
    <row r="178" spans="1:4">
      <c r="A178" s="1" t="s">
        <v>55</v>
      </c>
      <c r="B178" s="1" t="s">
        <v>43</v>
      </c>
      <c r="C178">
        <f t="shared" si="9"/>
        <v>97.3</v>
      </c>
      <c r="D178" s="2">
        <v>2.7</v>
      </c>
    </row>
    <row r="179" spans="1:4">
      <c r="A179" s="1" t="s">
        <v>55</v>
      </c>
      <c r="B179" s="1" t="s">
        <v>44</v>
      </c>
      <c r="C179">
        <f t="shared" si="9"/>
        <v>95.5</v>
      </c>
      <c r="D179" s="2">
        <v>4.5</v>
      </c>
    </row>
    <row r="180" spans="1:4">
      <c r="A180" s="1" t="s">
        <v>55</v>
      </c>
      <c r="B180" s="1" t="s">
        <v>45</v>
      </c>
      <c r="C180">
        <f t="shared" si="9"/>
        <v>97.5</v>
      </c>
      <c r="D180" s="2">
        <v>2.5</v>
      </c>
    </row>
    <row r="181" spans="1:4">
      <c r="A181" s="1" t="s">
        <v>55</v>
      </c>
      <c r="B181" s="1" t="s">
        <v>46</v>
      </c>
      <c r="C181">
        <f t="shared" si="9"/>
        <v>96.6</v>
      </c>
      <c r="D181" s="2">
        <v>3.4</v>
      </c>
    </row>
    <row r="182" spans="1:4">
      <c r="A182" s="1" t="s">
        <v>55</v>
      </c>
      <c r="B182" s="1" t="s">
        <v>47</v>
      </c>
      <c r="C182">
        <f t="shared" si="9"/>
        <v>97.2</v>
      </c>
      <c r="D182" s="2">
        <v>2.8</v>
      </c>
    </row>
    <row r="183" spans="1:4">
      <c r="A183" s="1" t="s">
        <v>55</v>
      </c>
      <c r="B183" s="1" t="s">
        <v>48</v>
      </c>
      <c r="C183">
        <f t="shared" si="9"/>
        <v>86.6</v>
      </c>
      <c r="D183" s="2">
        <v>13.4</v>
      </c>
    </row>
    <row r="184" spans="1:4">
      <c r="A184" s="1" t="s">
        <v>55</v>
      </c>
      <c r="B184" s="1" t="s">
        <v>49</v>
      </c>
      <c r="C184">
        <f t="shared" si="9"/>
        <v>97.3</v>
      </c>
      <c r="D184" s="2">
        <v>2.7</v>
      </c>
    </row>
    <row r="185" spans="1:4">
      <c r="A185" s="1" t="s">
        <v>55</v>
      </c>
      <c r="B185" s="1" t="s">
        <v>50</v>
      </c>
      <c r="C185">
        <f t="shared" si="9"/>
        <v>98.8</v>
      </c>
      <c r="D185" s="2">
        <v>1.2</v>
      </c>
    </row>
    <row r="186" spans="1:4">
      <c r="A186" s="1" t="s">
        <v>55</v>
      </c>
      <c r="B186" s="1" t="s">
        <v>51</v>
      </c>
      <c r="C186">
        <f t="shared" si="9"/>
        <v>98.8</v>
      </c>
      <c r="D186" s="2">
        <v>1.2</v>
      </c>
    </row>
    <row r="188" spans="1:4">
      <c r="A188" s="1" t="s">
        <v>56</v>
      </c>
    </row>
    <row r="189" spans="1:4">
      <c r="A189" s="1" t="s">
        <v>57</v>
      </c>
    </row>
    <row r="190" spans="1:4">
      <c r="A190" s="1" t="s">
        <v>58</v>
      </c>
    </row>
    <row r="191" spans="1:4">
      <c r="A191" s="1" t="s">
        <v>59</v>
      </c>
    </row>
    <row r="192" spans="1:4">
      <c r="A192" s="1" t="s">
        <v>60</v>
      </c>
    </row>
    <row r="193" spans="1:1">
      <c r="A193" s="1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WPS_1660630598</cp:lastModifiedBy>
  <dcterms:created xsi:type="dcterms:W3CDTF">2026-04-19T15:06:23Z</dcterms:created>
  <dcterms:modified xsi:type="dcterms:W3CDTF">2026-04-19T16:53:34Z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EA3B563F85F54036A0B8D899F6F68765_13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